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<sst xmlns="http://schemas.openxmlformats.org/spreadsheetml/2006/main" count="133" uniqueCount="121">
  <si>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</si>
  <si>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</si>
  <si>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</si>
  <si>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</si>
  <si>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</si>
  <si>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Base case; no guide published. The appraisal page gives the bid for 15% on cost with The Grange and cottages at BGP's £7m exit valuation.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</si>
  <si>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</si>
  <si>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</si>
  <si>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</si>
  <si>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</si>
  <si>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</si>
  <si>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</si>
  <si>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</si>
  <si>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</si>
  <si>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</si>
  <si>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</si>
  <si>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</si>
  <si>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</si>
  <si>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</si>
  <si>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</si>
  <si>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</si>
  <si>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</si>
  <si>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</si>
  <si>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</si>
  <si>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</si>
  <si>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</si>
  <si>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</si>
  <si>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Nil: Third Space fit out from the capital contribution and nothing more is spent on the leisure side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</si>
  <si>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</si>
  <si>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</si>
  <si>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</si>
  <si>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</si>
  <si>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</si>
  <si>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</si>
  <si>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</si>
  <si>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</si>
  <si>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</si>
  <si>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</si>
  <si>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</si>
  <si>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</si>
  <si>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</si>
  <si>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</si>
  <si>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</si>
  <si>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</si>
  <si>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</si>
  <si>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exit valuation</t>
  </si>
  <si>
    <t xml:space="preserve">BGP's exit valuation of The Grange and the cottages together, sold with everything else at the end of the hold; Related are underwriting the conversion</t>
  </si>
  <si>
    <t xml:space="preserve">Debt</t>
  </si>
  <si>
    <t xml:space="preserve">Loan to value</t>
  </si>
  <si>
    <t xml:space="preserve">One loan on purchase, sized on the valuation after the lettings; no refinance</t>
  </si>
  <si>
    <t xml:space="preserve">All-in interest rate</t>
  </si>
  <si>
    <t xml:space="preserve">Arrangement and exit fees</t>
  </si>
  <si>
    <t xml:space="preserve">% of the loan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</si>
  <si>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</si>
  <si>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</si>
  <si>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</si>
  <si>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</si>
  <si>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</si>
  <si>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</si>
  <si>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</si>
  <si>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</si>
  <si>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</si>
  <si>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</si>
  <si>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</si>
  <si>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</si>
  <si>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</si>
  <si>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Valuation after the lettings, £</t>
  </si>
  <si>
    <t xml:space="preserve">Day-one cost, £</t>
  </si>
  <si>
    <t xml:space="preserve">Loan drawn on completion, £</t>
  </si>
  <si>
    <t xml:space="preserve">Annual cash flow, £</t>
  </si>
  <si>
    <t xml:space="preserve">Completion January 2027 (year 0): purchase, Third Space lease, capital contribution and the Club's surrender and regrant all on the same day. Nothing more spent on the leisure side;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</si>
  <si>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</si>
  <si>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</si>
  <si>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</si>
  <si>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</si>
  <si>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</si>
  <si>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</si>
  <si>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</si>
  <si>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</si>
  <si>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</si>
  <si>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</si>
  <si>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</si>
  <si>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</si>
  <si>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</si>
  <si>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</si>
  <si>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</si>
  <si>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</si>
  <si>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</si>
  <si>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</si>
  <si>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</si>
  <si>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</si>
  <si>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</si>
  <si>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</si>
  <si>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</si>
  <si>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</si>
  <si>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</si>
  <si>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</si>
  <si>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</si>
  <si>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</si>
  <si>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</si>
  <si>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</si>
  <si>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</si>
  <si>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</si>
  <si>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</si>
  <si>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</si>
  <si>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</si>
  <si>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value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</si>
  <si>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</si>
  <si>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</si>
  <si>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</si>
  <si>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</si>
  <si>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</si>
  <si>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</si>
  <si>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 purchase, sized on the valuation after the lettings</t>
  </si>
  <si>
    <t xml:space="preserve">Valuation after the lettings</t>
  </si>
  <si>
    <t xml:space="preserve">Loan drawn on completion</t>
  </si>
  <si>
    <t xml:space="preserve">Loan to cost, implied</t>
  </si>
  <si>
    <t xml:space="preserve">Equity on day one</t>
  </si>
  <si>
    <t xml:space="preserve">Debt yield</t>
  </si>
  <si>
    <t xml:space="preserve">Interest cover once rent is paying</t>
  </si>
  <si>
    <t xml:space="preserve">Interest shortfall during the rent-free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</si>
</sst>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18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0.09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4" t="s">
        <v>53</v>
      </c>
      <c r="B32" s="2"/>
      <c r="C32" s="2"/>
      <c r="D32" s="2"/>
    </row>
    <row r="33" customFormat="false" ht="15" hidden="false" customHeight="false" outlineLevel="0" collapsed="false">
      <c r="A33" s="5" t="s">
        <v>54</v>
      </c>
      <c r="B33" s="10" t="n">
        <f aca="false">Inputs!$B$10*Inputs!$B$11</f>
        <v>1804260</v>
      </c>
      <c r="C33" s="2"/>
      <c r="D33" s="2"/>
    </row>
    <row r="34" customFormat="false" ht="15" hidden="false" customHeight="false" outlineLevel="0" collapsed="false">
      <c r="A34" s="5" t="s">
        <v>55</v>
      </c>
      <c r="B34" s="10" t="n">
        <f aca="false">Inputs!$B$10*Inputs!$B$15</f>
        <v>0</v>
      </c>
      <c r="C34" s="2"/>
      <c r="D34" s="2"/>
    </row>
    <row r="35" customFormat="false" ht="15" hidden="false" customHeight="false" outlineLevel="0" collapsed="false">
      <c r="A35" s="5" t="s">
        <v>56</v>
      </c>
      <c r="B35" s="10" t="n">
        <f aca="false">B34*Inputs!$B$16</f>
        <v>0</v>
      </c>
      <c r="C35" s="2"/>
      <c r="D35" s="2"/>
    </row>
    <row r="36" customFormat="false" ht="15" hidden="false" customHeight="false" outlineLevel="0" collapsed="false">
      <c r="A36" s="5" t="s">
        <v>57</v>
      </c>
      <c r="B36" s="10" t="n">
        <f aca="false">B33*Inputs!$B$13</f>
        <v>1804260</v>
      </c>
      <c r="C36" s="2"/>
      <c r="D36" s="2"/>
    </row>
    <row r="37" customFormat="false" ht="15" hidden="false" customHeight="false" outlineLevel="0" collapsed="false">
      <c r="A37" s="5" t="s">
        <v>58</v>
      </c>
      <c r="B37" s="10" t="n">
        <f aca="false">B33*Inputs!$B$12</f>
        <v>3608520</v>
      </c>
      <c r="C37" s="2"/>
      <c r="D37" s="2"/>
    </row>
    <row r="38" customFormat="false" ht="15" hidden="false" customHeight="false" outlineLevel="0" collapsed="false">
      <c r="A38" s="5" t="s">
        <v>59</v>
      </c>
      <c r="B38" s="10" t="n">
        <f aca="false">Inputs!$B$5*1000000</f>
        <v>18000000</v>
      </c>
      <c r="C38" s="2"/>
      <c r="D38" s="2"/>
    </row>
    <row r="39" customFormat="false" ht="15" hidden="false" customHeight="false" outlineLevel="0" collapsed="false">
      <c r="A39" s="5" t="s">
        <v>60</v>
      </c>
      <c r="B39" s="10" t="n">
        <f aca="false">Inputs!$B$26*1000000</f>
        <v>7000000</v>
      </c>
      <c r="C39" s="2"/>
      <c r="D39" s="2"/>
    </row>
    <row r="40" customFormat="false" ht="15" hidden="false" customHeight="false" outlineLevel="0" collapsed="false">
      <c r="A40" s="5" t="s">
        <v>61</v>
      </c>
      <c r="B40" s="10" t="n">
        <f aca="false">Inputs!$B$23*1000000</f>
        <v>500000</v>
      </c>
      <c r="C40" s="2"/>
      <c r="D40" s="2"/>
    </row>
    <row r="41" customFormat="false" ht="15" hidden="false" customHeight="false" outlineLevel="0" collapsed="false">
      <c r="A41" s="5" t="s">
        <v>62</v>
      </c>
      <c r="B41" s="10" t="n">
        <f aca="false">B33*(1+Inputs!$B$14)^(5*INT((Inputs!$B$7-1)/5))</f>
        <v>1804260</v>
      </c>
      <c r="C41" s="2"/>
      <c r="D41" s="2"/>
    </row>
    <row r="42" customFormat="false" ht="15" hidden="false" customHeight="false" outlineLevel="0" collapsed="false">
      <c r="A42" s="5" t="s">
        <v>63</v>
      </c>
      <c r="B42" s="11" t="n">
        <f aca="false">MAX(0,Inputs!$B$12-Inputs!$B$7)</f>
        <v>0</v>
      </c>
      <c r="C42" s="2"/>
      <c r="D42" s="2"/>
    </row>
    <row r="43" customFormat="false" ht="15" hidden="false" customHeight="false" outlineLevel="0" collapsed="false">
      <c r="A43" s="5" t="s">
        <v>64</v>
      </c>
      <c r="B43" s="10" t="n">
        <f aca="false">B41/Inputs!$B$17/(1+Inputs!$B$6)-B42*B41</f>
        <v>22525093.6329588</v>
      </c>
      <c r="C43" s="2"/>
      <c r="D43" s="2"/>
    </row>
    <row r="44" customFormat="false" ht="15" hidden="false" customHeight="false" outlineLevel="0" collapsed="false">
      <c r="A44" s="5" t="s">
        <v>65</v>
      </c>
      <c r="B44" s="10" t="n">
        <f aca="false">Inputs!$B$19/Inputs!$B$21/(1+Inputs!$B$6)</f>
        <v>1337613.69716426</v>
      </c>
      <c r="C44" s="2"/>
      <c r="D44" s="2"/>
    </row>
    <row r="45" customFormat="false" ht="15" hidden="false" customHeight="false" outlineLevel="0" collapsed="false">
      <c r="A45" s="5" t="s">
        <v>66</v>
      </c>
      <c r="B45" s="10" t="n">
        <f aca="false">B33/Inputs!$B$17/(1+Inputs!$B$6)+B44+B40+B39</f>
        <v>31362707.3301231</v>
      </c>
      <c r="C45" s="2"/>
      <c r="D45" s="2"/>
    </row>
    <row r="46" customFormat="false" ht="15" hidden="false" customHeight="false" outlineLevel="0" collapsed="false">
      <c r="A46" s="5" t="s">
        <v>67</v>
      </c>
      <c r="B46" s="10" t="n">
        <f aca="false">B38*(1+Inputs!$B$6)+B36+Inputs!$B$20</f>
        <v>21028260</v>
      </c>
      <c r="C46" s="2"/>
      <c r="D46" s="2"/>
    </row>
    <row r="47" customFormat="false" ht="15" hidden="false" customHeight="false" outlineLevel="0" collapsed="false">
      <c r="A47" s="5" t="s">
        <v>68</v>
      </c>
      <c r="B47" s="10" t="n">
        <f aca="false">MIN(Inputs!$B$28*B45,B46)</f>
        <v>15681353.6650615</v>
      </c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C5*IF(A5&lt;1,0,IF(A5&lt;=Inputs!$B$12,0,IF(A5-1&lt;Inputs!$B$12,A5-Inputs!$B$12,1)*Inputs!$B$33*(1+Inputs!$B$14)^(5*INT((A5-1)/5))))</f>
        <v>0</v>
      </c>
      <c r="F5" s="10" t="n">
        <f aca="false">C5*(IF(A5=0,IF(Inputs!$B$24=0,Inputs!$B$39,0),0)+IF(AND(Inputs!$B$24&gt;0,A5=Inputs!$B$24),Inputs!$B$39,0))</f>
        <v>0</v>
      </c>
      <c r="G5" s="10" t="n">
        <f aca="false">-C5*(IF(A5=0,Inputs!$B$38*(1+Inputs!$B$6)+Inputs!$B$36+Inputs!$B$20,0)+IF(A5=1,Inputs!$B$34+Inputs!$B$35,0))</f>
        <v>-21028260</v>
      </c>
      <c r="H5" s="10" t="n">
        <f aca="false">-C5*IF(AND(Inputs!$B$24&gt;0,A5&gt;=1,A5&lt;=Inputs!$B$24),Inputs!$B$25,0)</f>
        <v>-0</v>
      </c>
      <c r="I5" s="10" t="n">
        <f aca="false">IF(A5=Inputs!$B$7,Inputs!$B$43+Inputs!$B$44+Inputs!$B$40,0)</f>
        <v>0</v>
      </c>
      <c r="J5" s="10" t="n">
        <f aca="false">SUM(D5:I5)</f>
        <v>-21028260</v>
      </c>
      <c r="K5" s="10" t="n">
        <f aca="false">-G5-F5</f>
        <v>21028260</v>
      </c>
      <c r="L5" s="10" t="n">
        <f aca="false">IF(A5=0,Inputs!$B$47,0)</f>
        <v>15681353.6650615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235220.304975923</v>
      </c>
      <c r="P5" s="10" t="n">
        <f aca="false">IF(K5&lt;0,MIN(M5+L5,-K5),0)+IF(A5=Inputs!$B$7,M5+L5-IF(K5&lt;0,MIN(M5+L5,-K5),0),0)</f>
        <v>0</v>
      </c>
      <c r="Q5" s="10" t="n">
        <f aca="false">M5+L5-P5</f>
        <v>15681353.6650615</v>
      </c>
      <c r="R5" s="10" t="n">
        <f aca="false">L5-N5-P5-O5</f>
        <v>15446133.3600856</v>
      </c>
      <c r="S5" s="10" t="n">
        <f aca="false">J5+R5</f>
        <v>-5582126.63991439</v>
      </c>
      <c r="T5" s="10" t="n">
        <f aca="false">S5</f>
        <v>-5582126.63991439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C6*IF(A6&lt;1,0,IF(A6&lt;=Inputs!$B$12,0,IF(A6-1&lt;Inputs!$B$12,A6-Inputs!$B$12,1)*Inputs!$B$33*(1+Inputs!$B$14)^(5*INT((A6-1)/5))))</f>
        <v>0</v>
      </c>
      <c r="F6" s="10" t="n">
        <f aca="false">C6*(IF(A6=0,IF(Inputs!$B$24=0,Inputs!$B$39,0),0)+IF(AND(Inputs!$B$24&gt;0,A6=Inputs!$B$24),Inputs!$B$39,0))</f>
        <v>0</v>
      </c>
      <c r="G6" s="10" t="n">
        <f aca="false">-C6*(IF(A6=0,Inputs!$B$38*(1+Inputs!$B$6)+Inputs!$B$36+Inputs!$B$20,0)+IF(A6=1,Inputs!$B$34+Inputs!$B$35,0))</f>
        <v>-0</v>
      </c>
      <c r="H6" s="10" t="n">
        <f aca="false">-C6*IF(AND(Inputs!$B$24&gt;0,A6&gt;=1,A6&lt;=Inputs!$B$24),Inputs!$B$25,0)</f>
        <v>-0</v>
      </c>
      <c r="I6" s="10" t="n">
        <f aca="false">IF(A6=Inputs!$B$7,Inputs!$B$43+Inputs!$B$44+Inputs!$B$40,0)</f>
        <v>0</v>
      </c>
      <c r="J6" s="10" t="n">
        <f aca="false">SUM(D6:I6)</f>
        <v>100000</v>
      </c>
      <c r="K6" s="10" t="n">
        <f aca="false">-G6-F6</f>
        <v>0</v>
      </c>
      <c r="L6" s="10" t="n">
        <f aca="false">IF(A6=0,Inputs!$B$47,0)</f>
        <v>0</v>
      </c>
      <c r="M6" s="10" t="n">
        <f aca="false">Q5</f>
        <v>15681353.6650615</v>
      </c>
      <c r="N6" s="10" t="n">
        <f aca="false">M6*Inputs!$B$29</f>
        <v>1411321.82985554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15681353.6650615</v>
      </c>
      <c r="R6" s="10" t="n">
        <f aca="false">L6-N6-P6-O6</f>
        <v>-1411321.82985554</v>
      </c>
      <c r="S6" s="10" t="n">
        <f aca="false">J6+R6</f>
        <v>-1311321.82985554</v>
      </c>
      <c r="T6" s="10" t="n">
        <f aca="false">T5+S6</f>
        <v>-6893448.46976993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C7*IF(A7&lt;1,0,IF(A7&lt;=Inputs!$B$12,0,IF(A7-1&lt;Inputs!$B$12,A7-Inputs!$B$12,1)*Inputs!$B$33*(1+Inputs!$B$14)^(5*INT((A7-1)/5))))</f>
        <v>0</v>
      </c>
      <c r="F7" s="10" t="n">
        <f aca="false">C7*(IF(A7=0,IF(Inputs!$B$24=0,Inputs!$B$39,0),0)+IF(AND(Inputs!$B$24&gt;0,A7=Inputs!$B$24),Inputs!$B$39,0))</f>
        <v>0</v>
      </c>
      <c r="G7" s="10" t="n">
        <f aca="false">-C7*(IF(A7=0,Inputs!$B$38*(1+Inputs!$B$6)+Inputs!$B$36+Inputs!$B$20,0)+IF(A7=1,Inputs!$B$34+Inputs!$B$35,0))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IF(A7=Inputs!$B$7,Inputs!$B$43+Inputs!$B$44+Inputs!$B$40,0)</f>
        <v>0</v>
      </c>
      <c r="J7" s="10" t="n">
        <f aca="false">SUM(D7:I7)</f>
        <v>100000</v>
      </c>
      <c r="K7" s="10" t="n">
        <f aca="false">-G7-F7</f>
        <v>0</v>
      </c>
      <c r="L7" s="10" t="n">
        <f aca="false">IF(A7=0,Inputs!$B$47,0)</f>
        <v>0</v>
      </c>
      <c r="M7" s="10" t="n">
        <f aca="false">Q6</f>
        <v>15681353.6650615</v>
      </c>
      <c r="N7" s="10" t="n">
        <f aca="false">M7*Inputs!$B$29</f>
        <v>1411321.82985554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15681353.6650615</v>
      </c>
      <c r="R7" s="10" t="n">
        <f aca="false">L7-N7-P7-O7</f>
        <v>-1411321.82985554</v>
      </c>
      <c r="S7" s="10" t="n">
        <f aca="false">J7+R7</f>
        <v>-1311321.82985554</v>
      </c>
      <c r="T7" s="10" t="n">
        <f aca="false">T6+S7</f>
        <v>-8204770.29962547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C8*IF(A8&lt;1,0,IF(A8&lt;=Inputs!$B$12,0,IF(A8-1&lt;Inputs!$B$12,A8-Inputs!$B$12,1)*Inputs!$B$33*(1+Inputs!$B$14)^(5*INT((A8-1)/5))))</f>
        <v>1804260</v>
      </c>
      <c r="F8" s="10" t="n">
        <f aca="false">C8*(IF(A8=0,IF(Inputs!$B$24=0,Inputs!$B$39,0),0)+IF(AND(Inputs!$B$24&gt;0,A8=Inputs!$B$24),Inputs!$B$39,0))</f>
        <v>7000000</v>
      </c>
      <c r="G8" s="10" t="n">
        <f aca="false">-C8*(IF(A8=0,Inputs!$B$38*(1+Inputs!$B$6)+Inputs!$B$36+Inputs!$B$20,0)+IF(A8=1,Inputs!$B$34+Inputs!$B$35,0))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IF(A8=Inputs!$B$7,Inputs!$B$43+Inputs!$B$44+Inputs!$B$40,0)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IF(A8=0,Inputs!$B$47,0)</f>
        <v>0</v>
      </c>
      <c r="M8" s="10" t="n">
        <f aca="false">Q7</f>
        <v>15681353.6650615</v>
      </c>
      <c r="N8" s="10" t="n">
        <f aca="false">M8*Inputs!$B$29</f>
        <v>1411321.82985554</v>
      </c>
      <c r="O8" s="10" t="n">
        <f aca="false">L8*Inputs!$B$30</f>
        <v>0</v>
      </c>
      <c r="P8" s="10" t="n">
        <f aca="false">IF(K8&lt;0,MIN(M8+L8,-K8),0)+IF(A8=Inputs!$B$7,M8+L8-IF(K8&lt;0,MIN(M8+L8,-K8),0),0)</f>
        <v>15681353.6650615</v>
      </c>
      <c r="Q8" s="10" t="n">
        <f aca="false">M8+L8-P8</f>
        <v>0</v>
      </c>
      <c r="R8" s="10" t="n">
        <f aca="false">L8-N8-P8-O8</f>
        <v>-17092675.4949171</v>
      </c>
      <c r="S8" s="10" t="n">
        <f aca="false">J8+R8</f>
        <v>16174291.835206</v>
      </c>
      <c r="T8" s="10" t="n">
        <f aca="false">T7+S8</f>
        <v>7969521.53558052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C9*IF(A9&lt;1,0,IF(A9&lt;=Inputs!$B$12,0,IF(A9-1&lt;Inputs!$B$12,A9-Inputs!$B$12,1)*Inputs!$B$33*(1+Inputs!$B$14)^(5*INT((A9-1)/5))))</f>
        <v>0</v>
      </c>
      <c r="F9" s="10" t="n">
        <f aca="false">C9*(IF(A9=0,IF(Inputs!$B$24=0,Inputs!$B$39,0),0)+IF(AND(Inputs!$B$24&gt;0,A9=Inputs!$B$24),Inputs!$B$39,0))</f>
        <v>0</v>
      </c>
      <c r="G9" s="10" t="n">
        <f aca="false">-C9*(IF(A9=0,Inputs!$B$38*(1+Inputs!$B$6)+Inputs!$B$36+Inputs!$B$20,0)+IF(A9=1,Inputs!$B$34+Inputs!$B$35,0))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IF(A9=Inputs!$B$7,Inputs!$B$43+Inputs!$B$44+Inputs!$B$40,0)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IF(A9=0,Inputs!$B$47,0)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7969521.53558052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C10*IF(A10&lt;1,0,IF(A10&lt;=Inputs!$B$12,0,IF(A10-1&lt;Inputs!$B$12,A10-Inputs!$B$12,1)*Inputs!$B$33*(1+Inputs!$B$14)^(5*INT((A10-1)/5))))</f>
        <v>0</v>
      </c>
      <c r="F10" s="10" t="n">
        <f aca="false">C10*(IF(A10=0,IF(Inputs!$B$24=0,Inputs!$B$39,0),0)+IF(AND(Inputs!$B$24&gt;0,A10=Inputs!$B$24),Inputs!$B$39,0))</f>
        <v>0</v>
      </c>
      <c r="G10" s="10" t="n">
        <f aca="false">-C10*(IF(A10=0,Inputs!$B$38*(1+Inputs!$B$6)+Inputs!$B$36+Inputs!$B$20,0)+IF(A10=1,Inputs!$B$34+Inputs!$B$35,0))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IF(A10=Inputs!$B$7,Inputs!$B$43+Inputs!$B$44+Inputs!$B$40,0)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IF(A10=0,Inputs!$B$47,0)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7969521.53558052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C11*IF(A11&lt;1,0,IF(A11&lt;=Inputs!$B$12,0,IF(A11-1&lt;Inputs!$B$12,A11-Inputs!$B$12,1)*Inputs!$B$33*(1+Inputs!$B$14)^(5*INT((A11-1)/5))))</f>
        <v>0</v>
      </c>
      <c r="F11" s="10" t="n">
        <f aca="false">C11*(IF(A11=0,IF(Inputs!$B$24=0,Inputs!$B$39,0),0)+IF(AND(Inputs!$B$24&gt;0,A11=Inputs!$B$24),Inputs!$B$39,0))</f>
        <v>0</v>
      </c>
      <c r="G11" s="10" t="n">
        <f aca="false">-C11*(IF(A11=0,Inputs!$B$38*(1+Inputs!$B$6)+Inputs!$B$36+Inputs!$B$20,0)+IF(A11=1,Inputs!$B$34+Inputs!$B$35,0))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IF(A11=Inputs!$B$7,Inputs!$B$43+Inputs!$B$44+Inputs!$B$40,0)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IF(A11=0,Inputs!$B$47,0)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7969521.53558052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C12*IF(A12&lt;1,0,IF(A12&lt;=Inputs!$B$12,0,IF(A12-1&lt;Inputs!$B$12,A12-Inputs!$B$12,1)*Inputs!$B$33*(1+Inputs!$B$14)^(5*INT((A12-1)/5))))</f>
        <v>0</v>
      </c>
      <c r="F12" s="10" t="n">
        <f aca="false">C12*(IF(A12=0,IF(Inputs!$B$24=0,Inputs!$B$39,0),0)+IF(AND(Inputs!$B$24&gt;0,A12=Inputs!$B$24),Inputs!$B$39,0))</f>
        <v>0</v>
      </c>
      <c r="G12" s="10" t="n">
        <f aca="false">-C12*(IF(A12=0,Inputs!$B$38*(1+Inputs!$B$6)+Inputs!$B$36+Inputs!$B$20,0)+IF(A12=1,Inputs!$B$34+Inputs!$B$35,0))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IF(A12=Inputs!$B$7,Inputs!$B$43+Inputs!$B$44+Inputs!$B$40,0)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IF(A12=0,Inputs!$B$47,0)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7969521.53558052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C13*IF(A13&lt;1,0,IF(A13&lt;=Inputs!$B$12,0,IF(A13-1&lt;Inputs!$B$12,A13-Inputs!$B$12,1)*Inputs!$B$33*(1+Inputs!$B$14)^(5*INT((A13-1)/5))))</f>
        <v>0</v>
      </c>
      <c r="F13" s="10" t="n">
        <f aca="false">C13*(IF(A13=0,IF(Inputs!$B$24=0,Inputs!$B$39,0),0)+IF(AND(Inputs!$B$24&gt;0,A13=Inputs!$B$24),Inputs!$B$39,0))</f>
        <v>0</v>
      </c>
      <c r="G13" s="10" t="n">
        <f aca="false">-C13*(IF(A13=0,Inputs!$B$38*(1+Inputs!$B$6)+Inputs!$B$36+Inputs!$B$20,0)+IF(A13=1,Inputs!$B$34+Inputs!$B$35,0))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IF(A13=Inputs!$B$7,Inputs!$B$43+Inputs!$B$44+Inputs!$B$40,0)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IF(A13=0,Inputs!$B$47,0)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7969521.53558052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C14*IF(A14&lt;1,0,IF(A14&lt;=Inputs!$B$12,0,IF(A14-1&lt;Inputs!$B$12,A14-Inputs!$B$12,1)*Inputs!$B$33*(1+Inputs!$B$14)^(5*INT((A14-1)/5))))</f>
        <v>0</v>
      </c>
      <c r="F14" s="10" t="n">
        <f aca="false">C14*(IF(A14=0,IF(Inputs!$B$24=0,Inputs!$B$39,0),0)+IF(AND(Inputs!$B$24&gt;0,A14=Inputs!$B$24),Inputs!$B$39,0))</f>
        <v>0</v>
      </c>
      <c r="G14" s="10" t="n">
        <f aca="false">-C14*(IF(A14=0,Inputs!$B$38*(1+Inputs!$B$6)+Inputs!$B$36+Inputs!$B$20,0)+IF(A14=1,Inputs!$B$34+Inputs!$B$35,0))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IF(A14=Inputs!$B$7,Inputs!$B$43+Inputs!$B$44+Inputs!$B$40,0)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IF(A14=0,Inputs!$B$47,0)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7969521.53558052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C15*IF(A15&lt;1,0,IF(A15&lt;=Inputs!$B$12,0,IF(A15-1&lt;Inputs!$B$12,A15-Inputs!$B$12,1)*Inputs!$B$33*(1+Inputs!$B$14)^(5*INT((A15-1)/5))))</f>
        <v>0</v>
      </c>
      <c r="F15" s="10" t="n">
        <f aca="false">C15*(IF(A15=0,IF(Inputs!$B$24=0,Inputs!$B$39,0),0)+IF(AND(Inputs!$B$24&gt;0,A15=Inputs!$B$24),Inputs!$B$39,0))</f>
        <v>0</v>
      </c>
      <c r="G15" s="10" t="n">
        <f aca="false">-C15*(IF(A15=0,Inputs!$B$38*(1+Inputs!$B$6)+Inputs!$B$36+Inputs!$B$20,0)+IF(A15=1,Inputs!$B$34+Inputs!$B$35,0))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IF(A15=Inputs!$B$7,Inputs!$B$43+Inputs!$B$44+Inputs!$B$40,0)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IF(A15=0,Inputs!$B$47,0)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7969521.53558052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1804260</v>
      </c>
      <c r="F16" s="14" t="n">
        <f aca="false">SUM(F5:F15)</f>
        <v>7000000</v>
      </c>
      <c r="G16" s="14" t="n">
        <f aca="false">SUM(G5:G15)</f>
        <v>-21028260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12438707.3301231</v>
      </c>
      <c r="K16" s="14" t="n">
        <f aca="false">SUM(K5:K15)</f>
        <v>14028260</v>
      </c>
      <c r="L16" s="14" t="n">
        <f aca="false">SUM(L5:L15)</f>
        <v>15681353.6650615</v>
      </c>
      <c r="M16" s="14" t="n">
        <f aca="false">SUM(M5:M15)</f>
        <v>47044060.9951846</v>
      </c>
      <c r="N16" s="14" t="n">
        <f aca="false">SUM(N5:N15)</f>
        <v>4233965.48956661</v>
      </c>
      <c r="O16" s="14" t="n">
        <f aca="false">SUM(O5:O15)</f>
        <v>235220.304975923</v>
      </c>
      <c r="P16" s="14" t="n">
        <f aca="false">SUM(P5:P15)</f>
        <v>15681353.6650615</v>
      </c>
      <c r="Q16" s="14" t="n">
        <f aca="false">SUM(Q5:Q15)</f>
        <v>47044060.9951846</v>
      </c>
      <c r="R16" s="14" t="n">
        <f aca="false">SUM(R5:R15)</f>
        <v>-4469185.79454254</v>
      </c>
      <c r="S16" s="14" t="n">
        <f aca="false">SUM(S5:S15)</f>
        <v>7969521.53558052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2104260</v>
      </c>
    </row>
    <row r="6" customFormat="false" ht="15" hidden="false" customHeight="false" outlineLevel="0" collapsed="false">
      <c r="A6" s="5" t="s">
        <v>45</v>
      </c>
      <c r="B6" s="10" t="n">
        <f aca="false">Inputs!$B$39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33466967.3301231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21028260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4469185.79454254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25497445.7945425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0.312561564001298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7969521.53558052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0.238130974251954</v>
      </c>
    </row>
    <row r="17" customFormat="false" ht="15" hidden="false" customHeight="false" outlineLevel="0" collapsed="false">
      <c r="A17" s="5" t="s">
        <v>106</v>
      </c>
      <c r="B17" s="15" t="n">
        <f aca="false">(Inputs!$B$33+Inputs!$B$19)/(B10-Inputs!$B$39)</f>
        <v>0.135744561335476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0.168157145213216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0.299682183075168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1.97132780620858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8204770.29962547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15681353.6650615</v>
      </c>
    </row>
    <row r="23" customFormat="false" ht="15" hidden="false" customHeight="false" outlineLevel="0" collapsed="false">
      <c r="A23" s="5" t="s">
        <v>112</v>
      </c>
      <c r="B23" s="15" t="n">
        <f aca="false">(Inputs!$B$33+Inputs!$B$19-B22*Inputs!$B$29)/B21</f>
        <v>0.0600794601363751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Inputs!$B$45</f>
        <v>31362707.3301231</v>
      </c>
    </row>
    <row r="26" customFormat="false" ht="15" hidden="false" customHeight="false" outlineLevel="0" collapsed="false">
      <c r="A26" s="5" t="s">
        <v>115</v>
      </c>
      <c r="B26" s="10" t="n">
        <f aca="false">Inputs!$B$47</f>
        <v>15681353.6650615</v>
      </c>
    </row>
    <row r="27" customFormat="false" ht="15" hidden="false" customHeight="false" outlineLevel="0" collapsed="false">
      <c r="A27" s="5" t="s">
        <v>116</v>
      </c>
      <c r="B27" s="15" t="n">
        <f aca="false">Inputs!$B$47/Inputs!$B$46</f>
        <v>0.745727590635722</v>
      </c>
    </row>
    <row r="28" customFormat="false" ht="15" hidden="false" customHeight="false" outlineLevel="0" collapsed="false">
      <c r="A28" s="5" t="s">
        <v>117</v>
      </c>
      <c r="B28" s="10" t="n">
        <f aca="false">Inputs!$B$46-Inputs!$B$47</f>
        <v>5346906.33493847</v>
      </c>
    </row>
    <row r="29" customFormat="false" ht="15" hidden="false" customHeight="false" outlineLevel="0" collapsed="false">
      <c r="A29" s="5" t="s">
        <v>118</v>
      </c>
      <c r="B29" s="15" t="n">
        <f aca="false">(Inputs!$B$33+Inputs!$B$19)/Inputs!$B$47</f>
        <v>0.121434669523636</v>
      </c>
    </row>
    <row r="30" customFormat="false" ht="15" hidden="false" customHeight="false" outlineLevel="0" collapsed="false">
      <c r="A30" s="5" t="s">
        <v>119</v>
      </c>
      <c r="B30" s="16" t="n">
        <f aca="false">(Inputs!$B$33+Inputs!$B$19)/(Inputs!$B$47*Inputs!$B$29)</f>
        <v>1.34927410581817</v>
      </c>
    </row>
    <row r="31" customFormat="false" ht="15" hidden="false" customHeight="false" outlineLevel="0" collapsed="false">
      <c r="A31" s="5" t="s">
        <v>120</v>
      </c>
      <c r="B31" s="10" t="n">
        <f aca="false">MAX(0,(Inputs!$B$47*Inputs!$B$29-Inputs!$B$19)*Inputs!$B$12)</f>
        <v>2622643.65971108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2026-10-17T18:43:32Z</dcterms:created>
  <dc:creator>openpyxl</dc:creator>
  <dc:description/>
  <dc:language>en-US</dc:language>
  <cp:lastModifiedBy/>
  <dcterms:modified xsi:type="dcterms:W3CDTF">2026-10-17T18:43:32Z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
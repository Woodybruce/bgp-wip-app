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<sst xmlns="http://schemas.openxmlformats.org/spreadsheetml/2006/main" count="139" uniqueCount="125">
  <si>
    <t xml:space="preserve">Roehampton Sports Ground Estate — underwrite model</t>
  </si>
  <si>
    <t xml:space="preserve">Bruce Gillingham Pollard for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</si>
  <si>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</si>
  <si>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</si>
  <si>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</si>
  <si>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Working price; no guide published. The appraisal page gives c. £20m for 15% on cost with The Grange at £7m. Use Goal Seek: set Outputs!B13 to 0.15 by changing Inputs!B5.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</si>
  <si>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</si>
  <si>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</si>
  <si>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</si>
  <si>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</si>
  <si>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</si>
  <si>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</si>
  <si>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</si>
  <si>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</si>
  <si>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</si>
  <si>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</si>
  <si>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</si>
  <si>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</si>
  <si>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</si>
  <si>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</si>
  <si>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</si>
  <si>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</si>
  <si>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</si>
  <si>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</si>
  <si>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</si>
  <si>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</si>
  <si>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</si>
  <si>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Base build and separation; tenant fits out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</si>
  <si>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</si>
  <si>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</si>
  <si>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</si>
  <si>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</si>
  <si>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2028</t>
  </si>
  <si>
    <t xml:space="preserve">£ pa</t>
  </si>
  <si>
    <t xml:space="preserve">Current £350,000 received in 2027</t>
  </si>
  <si>
    <t xml:space="preserve">Surrender premium to the Club</t>
  </si>
  <si>
    <t xml:space="preserve">Exit yield, grounds</t>
  </si>
  <si>
    <t xml:space="preserve">Other lots</t>
  </si>
  <si>
    <t xml:space="preserve">Cottages and Lodge, sold 2027</t>
  </si>
  <si>
    <t xml:space="preserve">National Tennis Centre reversion at exit</t>
  </si>
  <si>
    <t xml:space="preserve">Peppercorn to 2129</t>
  </si>
  <si>
    <t xml:space="preserve">Year Related take The Grange</t>
  </si>
  <si>
    <t xml:space="preserve">year</t>
  </si>
  <si>
    <t xml:space="preserve">0 = on completion; otherwise end of that year</t>
  </si>
  <si>
    <t xml:space="preserve">Grange empty costs until then</t>
  </si>
  <si>
    <t xml:space="preserve">Service charge, rates, insurance</t>
  </si>
  <si>
    <t xml:space="preserve">Grange price from Related</t>
  </si>
  <si>
    <t xml:space="preserve">Per Woody Bruce, 17 October 2026</t>
  </si>
  <si>
    <t xml:space="preserve">Debt</t>
  </si>
  <si>
    <t xml:space="preserve">Loan to cost</t>
  </si>
  <si>
    <t xml:space="preserve">Drawn against purchase, works and incentives</t>
  </si>
  <si>
    <t xml:space="preserve">All-in interest rate</t>
  </si>
  <si>
    <t xml:space="preserve">Arrangement and exit fees</t>
  </si>
  <si>
    <t xml:space="preserve">% of draws</t>
  </si>
  <si>
    <t xml:space="preserve">Refinance LTV once let</t>
  </si>
  <si>
    <t xml:space="preserve">Investment loan against the let value</t>
  </si>
  <si>
    <t xml:space="preserve">Refinance all-in rate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</si>
  <si>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</si>
  <si>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</si>
  <si>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</si>
  <si>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</si>
  <si>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</si>
  <si>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</si>
  <si>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</si>
  <si>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</si>
  <si>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Cottages,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</si>
  <si>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</si>
  <si>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</si>
  <si>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</si>
  <si>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</si>
  <si>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</si>
  <si>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Annual cash flow, £</t>
  </si>
  <si>
    <t xml:space="preserve">Completion January 2027 (year 0). Third Space lease from January 2028 (year 2); capital contribution paid in year 2; Club surrender and £100,000 lease from 2028; exit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</si>
  <si>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</si>
  <si>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</si>
  <si>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</si>
  <si>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</si>
  <si>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</si>
  <si>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</si>
  <si>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</si>
  <si>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</si>
  <si>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</si>
  <si>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</si>
  <si>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</si>
  <si>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</si>
  <si>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</si>
  <si>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</si>
  <si>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</si>
  <si>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</si>
  <si>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</si>
  <si>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</si>
  <si>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</si>
  <si>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</si>
  <si>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</si>
  <si>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</si>
  <si>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Inputs!B5; for the Grange breakeven, change Inputs!B28 instead.</t>
  </si>
  <si>
    <t xml:space="preserve">Receipts</t>
  </si>
  <si>
    <t xml:space="preserve">Rent received during the hold</t>
  </si>
  <si>
    <t xml:space="preserve">Cottages and Lodge</t>
  </si>
  <si>
    <t xml:space="preserve">The Grange, to Related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</si>
  <si>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</si>
  <si>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</si>
  <si>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</si>
  <si>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</si>
  <si>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</si>
  <si>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</si>
  <si>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 (B13 = profit / total cost)</t>
  </si>
  <si>
    <t xml:space="preserve">Returns</t>
  </si>
  <si>
    <t xml:space="preserve">Profit</t>
  </si>
  <si>
    <t xml:space="preserve">Profit on receipts</t>
  </si>
  <si>
    <t xml:space="preserve">Yield on cost, stabilised rent over cost net of Grange and cottages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</si>
  <si>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</si>
  <si>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</si>
  <si>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</si>
  <si>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</si>
  <si>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</si>
  <si>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</si>
  <si>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once the Third Space lease is signed and the Grange approved</t>
  </si>
  <si>
    <t xml:space="preserve">Let value: day-one rents at the exit yields, net of purchaser's costs, plus NTC reversion</t>
  </si>
  <si>
    <t xml:space="preserve">Acquisition debt outstanding at letting (end of year 2)</t>
  </si>
  <si>
    <t xml:space="preserve">Refinance loan</t>
  </si>
  <si>
    <t xml:space="preserve">Equity released or (shortfall)</t>
  </si>
  <si>
    <t xml:space="preserve">Debt yield</t>
  </si>
  <si>
    <t xml:space="preserve">Interest cover once rent is paying</t>
  </si>
  <si>
    <t xml:space="preserve">Interest reserve for the rent-free period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</si>
</sst>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30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2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1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75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3</v>
      </c>
      <c r="C23" s="3" t="s">
        <v>4</v>
      </c>
      <c r="D23" s="2"/>
    </row>
    <row r="24" customFormat="false" ht="15" hidden="false" customHeight="false" outlineLevel="0" collapsed="false">
      <c r="A24" s="5" t="s">
        <v>39</v>
      </c>
      <c r="B24" s="9" t="n">
        <v>0.5</v>
      </c>
      <c r="C24" s="3" t="s">
        <v>4</v>
      </c>
      <c r="D24" s="3" t="s">
        <v>40</v>
      </c>
    </row>
    <row r="25" customFormat="false" ht="15" hidden="false" customHeight="false" outlineLevel="0" collapsed="false">
      <c r="A25" s="5" t="s">
        <v>41</v>
      </c>
      <c r="B25" s="8" t="n">
        <v>0</v>
      </c>
      <c r="C25" s="3" t="s">
        <v>42</v>
      </c>
      <c r="D25" s="3" t="s">
        <v>43</v>
      </c>
    </row>
    <row r="26" customFormat="false" ht="15" hidden="false" customHeight="false" outlineLevel="0" collapsed="false">
      <c r="A26" s="5" t="s">
        <v>44</v>
      </c>
      <c r="B26" s="8" t="n">
        <v>1000000</v>
      </c>
      <c r="C26" s="3" t="s">
        <v>33</v>
      </c>
      <c r="D26" s="3" t="s">
        <v>45</v>
      </c>
    </row>
    <row r="27" customFormat="false" ht="15" hidden="false" customHeight="false" outlineLevel="0" collapsed="false">
      <c r="A27" s="5" t="s">
        <v>46</v>
      </c>
      <c r="B27" s="6" t="n">
        <v>7</v>
      </c>
      <c r="C27" s="3" t="s">
        <v>4</v>
      </c>
      <c r="D27" s="3" t="s">
        <v>47</v>
      </c>
    </row>
    <row r="28" customFormat="false" ht="15" hidden="false" customHeight="false" outlineLevel="0" collapsed="false">
      <c r="A28" s="4" t="s">
        <v>48</v>
      </c>
      <c r="B28" s="2"/>
      <c r="C28" s="2"/>
      <c r="D28" s="2"/>
    </row>
    <row r="29" customFormat="false" ht="15" hidden="false" customHeight="false" outlineLevel="0" collapsed="false">
      <c r="A29" s="5" t="s">
        <v>49</v>
      </c>
      <c r="B29" s="7" t="n">
        <v>0.55</v>
      </c>
      <c r="C29" s="3" t="s">
        <v>7</v>
      </c>
      <c r="D29" s="3" t="s">
        <v>50</v>
      </c>
    </row>
    <row r="30" customFormat="false" ht="15" hidden="false" customHeight="false" outlineLevel="0" collapsed="false">
      <c r="A30" s="5" t="s">
        <v>51</v>
      </c>
      <c r="B30" s="7" t="n">
        <v>0.07</v>
      </c>
      <c r="C30" s="3" t="s">
        <v>7</v>
      </c>
      <c r="D30" s="2"/>
    </row>
    <row r="31" customFormat="false" ht="15" hidden="false" customHeight="false" outlineLevel="0" collapsed="false">
      <c r="A31" s="5" t="s">
        <v>52</v>
      </c>
      <c r="B31" s="7" t="n">
        <v>0.015</v>
      </c>
      <c r="C31" s="3" t="s">
        <v>53</v>
      </c>
      <c r="D31" s="2"/>
    </row>
    <row r="32" customFormat="false" ht="15" hidden="false" customHeight="false" outlineLevel="0" collapsed="false">
      <c r="A32" s="5" t="s">
        <v>54</v>
      </c>
      <c r="B32" s="7" t="n">
        <v>0.55</v>
      </c>
      <c r="C32" s="3" t="s">
        <v>7</v>
      </c>
      <c r="D32" s="3" t="s">
        <v>55</v>
      </c>
    </row>
    <row r="33" customFormat="false" ht="15" hidden="false" customHeight="false" outlineLevel="0" collapsed="false">
      <c r="A33" s="5" t="s">
        <v>56</v>
      </c>
      <c r="B33" s="7" t="n">
        <v>0.06</v>
      </c>
      <c r="C33" s="3" t="s">
        <v>7</v>
      </c>
      <c r="D33" s="2"/>
    </row>
    <row r="34" customFormat="false" ht="15" hidden="false" customHeight="false" outlineLevel="0" collapsed="false">
      <c r="A34" s="2"/>
      <c r="B34" s="2"/>
      <c r="C34" s="2"/>
      <c r="D34" s="2"/>
    </row>
    <row r="35" customFormat="false" ht="15" hidden="false" customHeight="false" outlineLevel="0" collapsed="false">
      <c r="A35" s="4" t="s">
        <v>57</v>
      </c>
      <c r="B35" s="2"/>
      <c r="C35" s="2"/>
      <c r="D35" s="2"/>
    </row>
    <row r="36" customFormat="false" ht="15" hidden="false" customHeight="false" outlineLevel="0" collapsed="false">
      <c r="A36" s="5" t="s">
        <v>58</v>
      </c>
      <c r="B36" s="10" t="n">
        <f aca="false">Inputs!$B$10*Inputs!$B$11</f>
        <v>1804260</v>
      </c>
      <c r="C36" s="2"/>
      <c r="D36" s="2"/>
    </row>
    <row r="37" customFormat="false" ht="15" hidden="false" customHeight="false" outlineLevel="0" collapsed="false">
      <c r="A37" s="5" t="s">
        <v>59</v>
      </c>
      <c r="B37" s="10" t="n">
        <f aca="false">Inputs!$B$10*Inputs!$B$15</f>
        <v>4510650</v>
      </c>
      <c r="C37" s="2"/>
      <c r="D37" s="2"/>
    </row>
    <row r="38" customFormat="false" ht="15" hidden="false" customHeight="false" outlineLevel="0" collapsed="false">
      <c r="A38" s="5" t="s">
        <v>60</v>
      </c>
      <c r="B38" s="10" t="n">
        <f aca="false">B37*Inputs!$B$16</f>
        <v>676597.5</v>
      </c>
      <c r="C38" s="2"/>
      <c r="D38" s="2"/>
    </row>
    <row r="39" customFormat="false" ht="15" hidden="false" customHeight="false" outlineLevel="0" collapsed="false">
      <c r="A39" s="5" t="s">
        <v>61</v>
      </c>
      <c r="B39" s="10" t="n">
        <f aca="false">B36*Inputs!$B$13</f>
        <v>1804260</v>
      </c>
      <c r="C39" s="2"/>
      <c r="D39" s="2"/>
    </row>
    <row r="40" customFormat="false" ht="15" hidden="false" customHeight="false" outlineLevel="0" collapsed="false">
      <c r="A40" s="5" t="s">
        <v>62</v>
      </c>
      <c r="B40" s="10" t="n">
        <f aca="false">B36*Inputs!$B$12</f>
        <v>3608520</v>
      </c>
      <c r="C40" s="2"/>
      <c r="D40" s="2"/>
    </row>
    <row r="41" customFormat="false" ht="15" hidden="false" customHeight="false" outlineLevel="0" collapsed="false">
      <c r="A41" s="5" t="s">
        <v>63</v>
      </c>
      <c r="B41" s="10" t="n">
        <f aca="false">Inputs!$B$5*1000000</f>
        <v>30000000</v>
      </c>
      <c r="C41" s="2"/>
      <c r="D41" s="2"/>
    </row>
    <row r="42" customFormat="false" ht="15" hidden="false" customHeight="false" outlineLevel="0" collapsed="false">
      <c r="A42" s="5" t="s">
        <v>64</v>
      </c>
      <c r="B42" s="10" t="n">
        <f aca="false">Inputs!$B$27*1000000</f>
        <v>7000000</v>
      </c>
      <c r="C42" s="2"/>
      <c r="D42" s="2"/>
    </row>
    <row r="43" customFormat="false" ht="15" hidden="false" customHeight="false" outlineLevel="0" collapsed="false">
      <c r="A43" s="5" t="s">
        <v>65</v>
      </c>
      <c r="B43" s="10" t="n">
        <f aca="false">Inputs!$B$23*1000000</f>
        <v>3000000</v>
      </c>
      <c r="C43" s="2"/>
      <c r="D43" s="2"/>
    </row>
    <row r="44" customFormat="false" ht="15" hidden="false" customHeight="false" outlineLevel="0" collapsed="false">
      <c r="A44" s="5" t="s">
        <v>66</v>
      </c>
      <c r="B44" s="10" t="n">
        <f aca="false">Inputs!$B$24*1000000</f>
        <v>500000</v>
      </c>
      <c r="C44" s="2"/>
      <c r="D44" s="2"/>
    </row>
    <row r="45" customFormat="false" ht="15" hidden="false" customHeight="false" outlineLevel="0" collapsed="false">
      <c r="A45" s="5" t="s">
        <v>67</v>
      </c>
      <c r="B45" s="10" t="n">
        <f aca="false">B36*(1+Inputs!$B$14)^(5*INT((Inputs!$B$7-1)/5))</f>
        <v>1804260</v>
      </c>
      <c r="C45" s="2"/>
      <c r="D45" s="2"/>
    </row>
    <row r="46" customFormat="false" ht="15" hidden="false" customHeight="false" outlineLevel="0" collapsed="false">
      <c r="A46" s="5" t="s">
        <v>68</v>
      </c>
      <c r="B46" s="11" t="n">
        <f aca="false">MAX(0,Inputs!$B$12-(Inputs!$B$7-1))</f>
        <v>0</v>
      </c>
      <c r="C46" s="2"/>
      <c r="D46" s="2"/>
    </row>
    <row r="47" customFormat="false" ht="15" hidden="false" customHeight="false" outlineLevel="0" collapsed="false">
      <c r="A47" s="5" t="s">
        <v>69</v>
      </c>
      <c r="B47" s="10" t="n">
        <f aca="false">B45/Inputs!$B$17/(1+Inputs!$B$6)-B46*B45</f>
        <v>22525093.6329588</v>
      </c>
      <c r="C47" s="2"/>
      <c r="D47" s="2"/>
    </row>
    <row r="48" customFormat="false" ht="15" hidden="false" customHeight="false" outlineLevel="0" collapsed="false">
      <c r="A48" s="5" t="s">
        <v>70</v>
      </c>
      <c r="B48" s="10" t="n">
        <f aca="false">Inputs!$B$19/Inputs!$B$21/(1+Inputs!$B$6)</f>
        <v>1337613.69716426</v>
      </c>
      <c r="C48" s="2"/>
      <c r="D4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73</v>
      </c>
      <c r="B4" s="12" t="s">
        <v>74</v>
      </c>
      <c r="C4" s="12" t="s">
        <v>75</v>
      </c>
      <c r="D4" s="12" t="s">
        <v>76</v>
      </c>
      <c r="E4" s="12" t="s">
        <v>77</v>
      </c>
      <c r="F4" s="12" t="s">
        <v>78</v>
      </c>
      <c r="G4" s="12" t="s">
        <v>79</v>
      </c>
      <c r="H4" s="12" t="s">
        <v>80</v>
      </c>
      <c r="I4" s="12" t="s">
        <v>81</v>
      </c>
      <c r="J4" s="12" t="s">
        <v>82</v>
      </c>
      <c r="K4" s="12" t="s">
        <v>83</v>
      </c>
      <c r="L4" s="12" t="s">
        <v>84</v>
      </c>
      <c r="M4" s="12" t="s">
        <v>85</v>
      </c>
      <c r="N4" s="12" t="s">
        <v>86</v>
      </c>
      <c r="O4" s="12" t="s">
        <v>87</v>
      </c>
      <c r="P4" s="12" t="s">
        <v>88</v>
      </c>
      <c r="Q4" s="12" t="s">
        <v>89</v>
      </c>
      <c r="R4" s="12" t="s">
        <v>90</v>
      </c>
      <c r="S4" s="12" t="s">
        <v>91</v>
      </c>
      <c r="T4" s="12" t="s">
        <v>92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C5*IF(A5=0,0,IF(A5=1,350000,Inputs!$B$19))</f>
        <v>0</v>
      </c>
      <c r="E5" s="10" t="n">
        <f aca="false">C5*IF(A5&lt;2,0,IF(A5-1&lt;=Inputs!$B$12,0,IF(A5-2&lt;Inputs!$B$12,A5-1-Inputs!$B$12,1)*Inputs!$B$36*(1+Inputs!$B$14)^(5*INT((A5-2)/5))))</f>
        <v>0</v>
      </c>
      <c r="F5" s="10" t="n">
        <f aca="false">C5*(IF(A5=0,IF(Inputs!$B$25=0,Inputs!$B$42,0),0)+IF(A5=1,Inputs!$B$43,0)+IF(AND(Inputs!$B$25&gt;0,A5=Inputs!$B$25),Inputs!$B$42,0))</f>
        <v>7000000</v>
      </c>
      <c r="G5" s="10" t="n">
        <f aca="false">-C5*(IF(A5=0,Inputs!$B$41*(1+Inputs!$B$6),0)+IF(A5=1,Inputs!$B$37+Inputs!$B$38+Inputs!$B$20,0)+IF(A5=2,Inputs!$B$39,0))</f>
        <v>-32040000</v>
      </c>
      <c r="H5" s="10" t="n">
        <f aca="false">-C5*IF(AND(Inputs!$B$25&gt;0,A5&gt;=1,A5&lt;=Inputs!$B$25),Inputs!$B$26,0)</f>
        <v>-0</v>
      </c>
      <c r="I5" s="10" t="n">
        <f aca="false">IF(A5=Inputs!$B$7,Inputs!$B$47+Inputs!$B$48+Inputs!$B$44,0)</f>
        <v>0</v>
      </c>
      <c r="J5" s="10" t="n">
        <f aca="false">SUM(D5:I5)</f>
        <v>-25040000</v>
      </c>
      <c r="K5" s="10" t="n">
        <f aca="false">-G5-F5</f>
        <v>25040000</v>
      </c>
      <c r="L5" s="10" t="n">
        <f aca="false">IF(K5&gt;0,Inputs!$B$29*K5,0)</f>
        <v>13772000</v>
      </c>
      <c r="M5" s="10" t="n">
        <f aca="false">0</f>
        <v>0</v>
      </c>
      <c r="N5" s="10" t="n">
        <f aca="false">M5*Inputs!$B$30</f>
        <v>0</v>
      </c>
      <c r="O5" s="10" t="n">
        <f aca="false">L5*Inputs!$B$31</f>
        <v>206580</v>
      </c>
      <c r="P5" s="10" t="n">
        <f aca="false">IF(K5&lt;0,MIN(M5+L5,-K5),0)+IF(A5=Inputs!$B$7,M5+L5-IF(K5&lt;0,MIN(M5+L5,-K5),0),0)</f>
        <v>0</v>
      </c>
      <c r="Q5" s="10" t="n">
        <f aca="false">M5+L5-P5</f>
        <v>13772000</v>
      </c>
      <c r="R5" s="10" t="n">
        <f aca="false">L5-N5-P5-O5</f>
        <v>13565420</v>
      </c>
      <c r="S5" s="10" t="n">
        <f aca="false">J5+R5</f>
        <v>-11474580</v>
      </c>
      <c r="T5" s="10" t="n">
        <f aca="false">S5</f>
        <v>-11474580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C6*IF(A6=0,0,IF(A6=1,350000,Inputs!$B$19))</f>
        <v>350000</v>
      </c>
      <c r="E6" s="10" t="n">
        <f aca="false">C6*IF(A6&lt;2,0,IF(A6-1&lt;=Inputs!$B$12,0,IF(A6-2&lt;Inputs!$B$12,A6-1-Inputs!$B$12,1)*Inputs!$B$36*(1+Inputs!$B$14)^(5*INT((A6-2)/5))))</f>
        <v>0</v>
      </c>
      <c r="F6" s="10" t="n">
        <f aca="false">C6*(IF(A6=0,IF(Inputs!$B$25=0,Inputs!$B$42,0),0)+IF(A6=1,Inputs!$B$43,0)+IF(AND(Inputs!$B$25&gt;0,A6=Inputs!$B$25),Inputs!$B$42,0))</f>
        <v>3000000</v>
      </c>
      <c r="G6" s="10" t="n">
        <f aca="false">-C6*(IF(A6=0,Inputs!$B$41*(1+Inputs!$B$6),0)+IF(A6=1,Inputs!$B$37+Inputs!$B$38+Inputs!$B$20,0)+IF(A6=2,Inputs!$B$39,0))</f>
        <v>-5187247.5</v>
      </c>
      <c r="H6" s="10" t="n">
        <f aca="false">-C6*IF(AND(Inputs!$B$25&gt;0,A6&gt;=1,A6&lt;=Inputs!$B$25),Inputs!$B$26,0)</f>
        <v>-0</v>
      </c>
      <c r="I6" s="10" t="n">
        <f aca="false">IF(A6=Inputs!$B$7,Inputs!$B$47+Inputs!$B$48+Inputs!$B$44,0)</f>
        <v>0</v>
      </c>
      <c r="J6" s="10" t="n">
        <f aca="false">SUM(D6:I6)</f>
        <v>-1837247.5</v>
      </c>
      <c r="K6" s="10" t="n">
        <f aca="false">-G6-F6</f>
        <v>2187247.5</v>
      </c>
      <c r="L6" s="10" t="n">
        <f aca="false">IF(K6&gt;0,Inputs!$B$29*K6,0)</f>
        <v>1202986.125</v>
      </c>
      <c r="M6" s="10" t="n">
        <f aca="false">Q5</f>
        <v>13772000</v>
      </c>
      <c r="N6" s="10" t="n">
        <f aca="false">M6*Inputs!$B$30</f>
        <v>964040</v>
      </c>
      <c r="O6" s="10" t="n">
        <f aca="false">L6*Inputs!$B$31</f>
        <v>18044.791875</v>
      </c>
      <c r="P6" s="10" t="n">
        <f aca="false">IF(K6&lt;0,MIN(M6+L6,-K6),0)+IF(A6=Inputs!$B$7,M6+L6-IF(K6&lt;0,MIN(M6+L6,-K6),0),0)</f>
        <v>0</v>
      </c>
      <c r="Q6" s="10" t="n">
        <f aca="false">M6+L6-P6</f>
        <v>14974986.125</v>
      </c>
      <c r="R6" s="10" t="n">
        <f aca="false">L6-N6-P6-O6</f>
        <v>220901.333125</v>
      </c>
      <c r="S6" s="10" t="n">
        <f aca="false">J6+R6</f>
        <v>-1616346.166875</v>
      </c>
      <c r="T6" s="10" t="n">
        <f aca="false">T5+S6</f>
        <v>-13090926.166875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C7*IF(A7=0,0,IF(A7=1,350000,Inputs!$B$19))</f>
        <v>100000</v>
      </c>
      <c r="E7" s="10" t="n">
        <f aca="false">C7*IF(A7&lt;2,0,IF(A7-1&lt;=Inputs!$B$12,0,IF(A7-2&lt;Inputs!$B$12,A7-1-Inputs!$B$12,1)*Inputs!$B$36*(1+Inputs!$B$14)^(5*INT((A7-2)/5))))</f>
        <v>0</v>
      </c>
      <c r="F7" s="10" t="n">
        <f aca="false">C7*(IF(A7=0,IF(Inputs!$B$25=0,Inputs!$B$42,0),0)+IF(A7=1,Inputs!$B$43,0)+IF(AND(Inputs!$B$25&gt;0,A7=Inputs!$B$25),Inputs!$B$42,0))</f>
        <v>0</v>
      </c>
      <c r="G7" s="10" t="n">
        <f aca="false">-C7*(IF(A7=0,Inputs!$B$41*(1+Inputs!$B$6),0)+IF(A7=1,Inputs!$B$37+Inputs!$B$38+Inputs!$B$20,0)+IF(A7=2,Inputs!$B$39,0))</f>
        <v>-1804260</v>
      </c>
      <c r="H7" s="10" t="n">
        <f aca="false">-C7*IF(AND(Inputs!$B$25&gt;0,A7&gt;=1,A7&lt;=Inputs!$B$25),Inputs!$B$26,0)</f>
        <v>-0</v>
      </c>
      <c r="I7" s="10" t="n">
        <f aca="false">IF(A7=Inputs!$B$7,Inputs!$B$47+Inputs!$B$48+Inputs!$B$44,0)</f>
        <v>0</v>
      </c>
      <c r="J7" s="10" t="n">
        <f aca="false">SUM(D7:I7)</f>
        <v>-1704260</v>
      </c>
      <c r="K7" s="10" t="n">
        <f aca="false">-G7-F7</f>
        <v>1804260</v>
      </c>
      <c r="L7" s="10" t="n">
        <f aca="false">IF(K7&gt;0,Inputs!$B$29*K7,0)</f>
        <v>992343</v>
      </c>
      <c r="M7" s="10" t="n">
        <f aca="false">Q6</f>
        <v>14974986.125</v>
      </c>
      <c r="N7" s="10" t="n">
        <f aca="false">M7*Inputs!$B$30</f>
        <v>1048249.02875</v>
      </c>
      <c r="O7" s="10" t="n">
        <f aca="false">L7*Inputs!$B$31</f>
        <v>14885.145</v>
      </c>
      <c r="P7" s="10" t="n">
        <f aca="false">IF(K7&lt;0,MIN(M7+L7,-K7),0)+IF(A7=Inputs!$B$7,M7+L7-IF(K7&lt;0,MIN(M7+L7,-K7),0),0)</f>
        <v>0</v>
      </c>
      <c r="Q7" s="10" t="n">
        <f aca="false">M7+L7-P7</f>
        <v>15967329.125</v>
      </c>
      <c r="R7" s="10" t="n">
        <f aca="false">L7-N7-P7-O7</f>
        <v>-70791.1737500001</v>
      </c>
      <c r="S7" s="10" t="n">
        <f aca="false">J7+R7</f>
        <v>-1775051.17375</v>
      </c>
      <c r="T7" s="10" t="n">
        <f aca="false">T6+S7</f>
        <v>-14865977.340625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C8*IF(A8=0,0,IF(A8=1,350000,Inputs!$B$19))</f>
        <v>100000</v>
      </c>
      <c r="E8" s="10" t="n">
        <f aca="false">C8*IF(A8&lt;2,0,IF(A8-1&lt;=Inputs!$B$12,0,IF(A8-2&lt;Inputs!$B$12,A8-1-Inputs!$B$12,1)*Inputs!$B$36*(1+Inputs!$B$14)^(5*INT((A8-2)/5))))</f>
        <v>0</v>
      </c>
      <c r="F8" s="10" t="n">
        <f aca="false">C8*(IF(A8=0,IF(Inputs!$B$25=0,Inputs!$B$42,0),0)+IF(A8=1,Inputs!$B$43,0)+IF(AND(Inputs!$B$25&gt;0,A8=Inputs!$B$25),Inputs!$B$42,0))</f>
        <v>0</v>
      </c>
      <c r="G8" s="10" t="n">
        <f aca="false">-C8*(IF(A8=0,Inputs!$B$41*(1+Inputs!$B$6),0)+IF(A8=1,Inputs!$B$37+Inputs!$B$38+Inputs!$B$20,0)+IF(A8=2,Inputs!$B$39,0))</f>
        <v>-0</v>
      </c>
      <c r="H8" s="10" t="n">
        <f aca="false">-C8*IF(AND(Inputs!$B$25&gt;0,A8&gt;=1,A8&lt;=Inputs!$B$25),Inputs!$B$26,0)</f>
        <v>-0</v>
      </c>
      <c r="I8" s="10" t="n">
        <f aca="false">IF(A8=Inputs!$B$7,Inputs!$B$47+Inputs!$B$48+Inputs!$B$44,0)</f>
        <v>24362707.3301231</v>
      </c>
      <c r="J8" s="10" t="n">
        <f aca="false">SUM(D8:I8)</f>
        <v>24462707.3301231</v>
      </c>
      <c r="K8" s="10" t="n">
        <f aca="false">-G8-F8</f>
        <v>0</v>
      </c>
      <c r="L8" s="10" t="n">
        <f aca="false">IF(K8&gt;0,Inputs!$B$29*K8,0)</f>
        <v>0</v>
      </c>
      <c r="M8" s="10" t="n">
        <f aca="false">Q7</f>
        <v>15967329.125</v>
      </c>
      <c r="N8" s="10" t="n">
        <f aca="false">M8*Inputs!$B$30</f>
        <v>1117713.03875</v>
      </c>
      <c r="O8" s="10" t="n">
        <f aca="false">L8*Inputs!$B$31</f>
        <v>0</v>
      </c>
      <c r="P8" s="10" t="n">
        <f aca="false">IF(K8&lt;0,MIN(M8+L8,-K8),0)+IF(A8=Inputs!$B$7,M8+L8-IF(K8&lt;0,MIN(M8+L8,-K8),0),0)</f>
        <v>15967329.125</v>
      </c>
      <c r="Q8" s="10" t="n">
        <f aca="false">M8+L8-P8</f>
        <v>0</v>
      </c>
      <c r="R8" s="10" t="n">
        <f aca="false">L8-N8-P8-O8</f>
        <v>-17085042.16375</v>
      </c>
      <c r="S8" s="10" t="n">
        <f aca="false">J8+R8</f>
        <v>7377665.16637306</v>
      </c>
      <c r="T8" s="10" t="n">
        <f aca="false">T7+S8</f>
        <v>-7488312.17425194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C9*IF(A9=0,0,IF(A9=1,350000,Inputs!$B$19))</f>
        <v>0</v>
      </c>
      <c r="E9" s="10" t="n">
        <f aca="false">C9*IF(A9&lt;2,0,IF(A9-1&lt;=Inputs!$B$12,0,IF(A9-2&lt;Inputs!$B$12,A9-1-Inputs!$B$12,1)*Inputs!$B$36*(1+Inputs!$B$14)^(5*INT((A9-2)/5))))</f>
        <v>0</v>
      </c>
      <c r="F9" s="10" t="n">
        <f aca="false">C9*(IF(A9=0,IF(Inputs!$B$25=0,Inputs!$B$42,0),0)+IF(A9=1,Inputs!$B$43,0)+IF(AND(Inputs!$B$25&gt;0,A9=Inputs!$B$25),Inputs!$B$42,0))</f>
        <v>0</v>
      </c>
      <c r="G9" s="10" t="n">
        <f aca="false">-C9*(IF(A9=0,Inputs!$B$41*(1+Inputs!$B$6),0)+IF(A9=1,Inputs!$B$37+Inputs!$B$38+Inputs!$B$20,0)+IF(A9=2,Inputs!$B$39,0))</f>
        <v>-0</v>
      </c>
      <c r="H9" s="10" t="n">
        <f aca="false">-C9*IF(AND(Inputs!$B$25&gt;0,A9&gt;=1,A9&lt;=Inputs!$B$25),Inputs!$B$26,0)</f>
        <v>-0</v>
      </c>
      <c r="I9" s="10" t="n">
        <f aca="false">IF(A9=Inputs!$B$7,Inputs!$B$47+Inputs!$B$48+Inputs!$B$44,0)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IF(K9&gt;0,Inputs!$B$29*K9,0)</f>
        <v>0</v>
      </c>
      <c r="M9" s="10" t="n">
        <f aca="false">Q8</f>
        <v>0</v>
      </c>
      <c r="N9" s="10" t="n">
        <f aca="false">M9*Inputs!$B$30</f>
        <v>0</v>
      </c>
      <c r="O9" s="10" t="n">
        <f aca="false">L9*Inputs!$B$31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-7488312.17425194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C10*IF(A10=0,0,IF(A10=1,350000,Inputs!$B$19))</f>
        <v>0</v>
      </c>
      <c r="E10" s="10" t="n">
        <f aca="false">C10*IF(A10&lt;2,0,IF(A10-1&lt;=Inputs!$B$12,0,IF(A10-2&lt;Inputs!$B$12,A10-1-Inputs!$B$12,1)*Inputs!$B$36*(1+Inputs!$B$14)^(5*INT((A10-2)/5))))</f>
        <v>0</v>
      </c>
      <c r="F10" s="10" t="n">
        <f aca="false">C10*(IF(A10=0,IF(Inputs!$B$25=0,Inputs!$B$42,0),0)+IF(A10=1,Inputs!$B$43,0)+IF(AND(Inputs!$B$25&gt;0,A10=Inputs!$B$25),Inputs!$B$42,0))</f>
        <v>0</v>
      </c>
      <c r="G10" s="10" t="n">
        <f aca="false">-C10*(IF(A10=0,Inputs!$B$41*(1+Inputs!$B$6),0)+IF(A10=1,Inputs!$B$37+Inputs!$B$38+Inputs!$B$20,0)+IF(A10=2,Inputs!$B$39,0))</f>
        <v>-0</v>
      </c>
      <c r="H10" s="10" t="n">
        <f aca="false">-C10*IF(AND(Inputs!$B$25&gt;0,A10&gt;=1,A10&lt;=Inputs!$B$25),Inputs!$B$26,0)</f>
        <v>-0</v>
      </c>
      <c r="I10" s="10" t="n">
        <f aca="false">IF(A10=Inputs!$B$7,Inputs!$B$47+Inputs!$B$48+Inputs!$B$44,0)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IF(K10&gt;0,Inputs!$B$29*K10,0)</f>
        <v>0</v>
      </c>
      <c r="M10" s="10" t="n">
        <f aca="false">Q9</f>
        <v>0</v>
      </c>
      <c r="N10" s="10" t="n">
        <f aca="false">M10*Inputs!$B$30</f>
        <v>0</v>
      </c>
      <c r="O10" s="10" t="n">
        <f aca="false">L10*Inputs!$B$31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-7488312.17425194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C11*IF(A11=0,0,IF(A11=1,350000,Inputs!$B$19))</f>
        <v>0</v>
      </c>
      <c r="E11" s="10" t="n">
        <f aca="false">C11*IF(A11&lt;2,0,IF(A11-1&lt;=Inputs!$B$12,0,IF(A11-2&lt;Inputs!$B$12,A11-1-Inputs!$B$12,1)*Inputs!$B$36*(1+Inputs!$B$14)^(5*INT((A11-2)/5))))</f>
        <v>0</v>
      </c>
      <c r="F11" s="10" t="n">
        <f aca="false">C11*(IF(A11=0,IF(Inputs!$B$25=0,Inputs!$B$42,0),0)+IF(A11=1,Inputs!$B$43,0)+IF(AND(Inputs!$B$25&gt;0,A11=Inputs!$B$25),Inputs!$B$42,0))</f>
        <v>0</v>
      </c>
      <c r="G11" s="10" t="n">
        <f aca="false">-C11*(IF(A11=0,Inputs!$B$41*(1+Inputs!$B$6),0)+IF(A11=1,Inputs!$B$37+Inputs!$B$38+Inputs!$B$20,0)+IF(A11=2,Inputs!$B$39,0))</f>
        <v>-0</v>
      </c>
      <c r="H11" s="10" t="n">
        <f aca="false">-C11*IF(AND(Inputs!$B$25&gt;0,A11&gt;=1,A11&lt;=Inputs!$B$25),Inputs!$B$26,0)</f>
        <v>-0</v>
      </c>
      <c r="I11" s="10" t="n">
        <f aca="false">IF(A11=Inputs!$B$7,Inputs!$B$47+Inputs!$B$48+Inputs!$B$44,0)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IF(K11&gt;0,Inputs!$B$29*K11,0)</f>
        <v>0</v>
      </c>
      <c r="M11" s="10" t="n">
        <f aca="false">Q10</f>
        <v>0</v>
      </c>
      <c r="N11" s="10" t="n">
        <f aca="false">M11*Inputs!$B$30</f>
        <v>0</v>
      </c>
      <c r="O11" s="10" t="n">
        <f aca="false">L11*Inputs!$B$31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-7488312.17425194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C12*IF(A12=0,0,IF(A12=1,350000,Inputs!$B$19))</f>
        <v>0</v>
      </c>
      <c r="E12" s="10" t="n">
        <f aca="false">C12*IF(A12&lt;2,0,IF(A12-1&lt;=Inputs!$B$12,0,IF(A12-2&lt;Inputs!$B$12,A12-1-Inputs!$B$12,1)*Inputs!$B$36*(1+Inputs!$B$14)^(5*INT((A12-2)/5))))</f>
        <v>0</v>
      </c>
      <c r="F12" s="10" t="n">
        <f aca="false">C12*(IF(A12=0,IF(Inputs!$B$25=0,Inputs!$B$42,0),0)+IF(A12=1,Inputs!$B$43,0)+IF(AND(Inputs!$B$25&gt;0,A12=Inputs!$B$25),Inputs!$B$42,0))</f>
        <v>0</v>
      </c>
      <c r="G12" s="10" t="n">
        <f aca="false">-C12*(IF(A12=0,Inputs!$B$41*(1+Inputs!$B$6),0)+IF(A12=1,Inputs!$B$37+Inputs!$B$38+Inputs!$B$20,0)+IF(A12=2,Inputs!$B$39,0))</f>
        <v>-0</v>
      </c>
      <c r="H12" s="10" t="n">
        <f aca="false">-C12*IF(AND(Inputs!$B$25&gt;0,A12&gt;=1,A12&lt;=Inputs!$B$25),Inputs!$B$26,0)</f>
        <v>-0</v>
      </c>
      <c r="I12" s="10" t="n">
        <f aca="false">IF(A12=Inputs!$B$7,Inputs!$B$47+Inputs!$B$48+Inputs!$B$44,0)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IF(K12&gt;0,Inputs!$B$29*K12,0)</f>
        <v>0</v>
      </c>
      <c r="M12" s="10" t="n">
        <f aca="false">Q11</f>
        <v>0</v>
      </c>
      <c r="N12" s="10" t="n">
        <f aca="false">M12*Inputs!$B$30</f>
        <v>0</v>
      </c>
      <c r="O12" s="10" t="n">
        <f aca="false">L12*Inputs!$B$31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-7488312.17425194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C13*IF(A13=0,0,IF(A13=1,350000,Inputs!$B$19))</f>
        <v>0</v>
      </c>
      <c r="E13" s="10" t="n">
        <f aca="false">C13*IF(A13&lt;2,0,IF(A13-1&lt;=Inputs!$B$12,0,IF(A13-2&lt;Inputs!$B$12,A13-1-Inputs!$B$12,1)*Inputs!$B$36*(1+Inputs!$B$14)^(5*INT((A13-2)/5))))</f>
        <v>0</v>
      </c>
      <c r="F13" s="10" t="n">
        <f aca="false">C13*(IF(A13=0,IF(Inputs!$B$25=0,Inputs!$B$42,0),0)+IF(A13=1,Inputs!$B$43,0)+IF(AND(Inputs!$B$25&gt;0,A13=Inputs!$B$25),Inputs!$B$42,0))</f>
        <v>0</v>
      </c>
      <c r="G13" s="10" t="n">
        <f aca="false">-C13*(IF(A13=0,Inputs!$B$41*(1+Inputs!$B$6),0)+IF(A13=1,Inputs!$B$37+Inputs!$B$38+Inputs!$B$20,0)+IF(A13=2,Inputs!$B$39,0))</f>
        <v>-0</v>
      </c>
      <c r="H13" s="10" t="n">
        <f aca="false">-C13*IF(AND(Inputs!$B$25&gt;0,A13&gt;=1,A13&lt;=Inputs!$B$25),Inputs!$B$26,0)</f>
        <v>-0</v>
      </c>
      <c r="I13" s="10" t="n">
        <f aca="false">IF(A13=Inputs!$B$7,Inputs!$B$47+Inputs!$B$48+Inputs!$B$44,0)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IF(K13&gt;0,Inputs!$B$29*K13,0)</f>
        <v>0</v>
      </c>
      <c r="M13" s="10" t="n">
        <f aca="false">Q12</f>
        <v>0</v>
      </c>
      <c r="N13" s="10" t="n">
        <f aca="false">M13*Inputs!$B$30</f>
        <v>0</v>
      </c>
      <c r="O13" s="10" t="n">
        <f aca="false">L13*Inputs!$B$31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-7488312.17425194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C14*IF(A14=0,0,IF(A14=1,350000,Inputs!$B$19))</f>
        <v>0</v>
      </c>
      <c r="E14" s="10" t="n">
        <f aca="false">C14*IF(A14&lt;2,0,IF(A14-1&lt;=Inputs!$B$12,0,IF(A14-2&lt;Inputs!$B$12,A14-1-Inputs!$B$12,1)*Inputs!$B$36*(1+Inputs!$B$14)^(5*INT((A14-2)/5))))</f>
        <v>0</v>
      </c>
      <c r="F14" s="10" t="n">
        <f aca="false">C14*(IF(A14=0,IF(Inputs!$B$25=0,Inputs!$B$42,0),0)+IF(A14=1,Inputs!$B$43,0)+IF(AND(Inputs!$B$25&gt;0,A14=Inputs!$B$25),Inputs!$B$42,0))</f>
        <v>0</v>
      </c>
      <c r="G14" s="10" t="n">
        <f aca="false">-C14*(IF(A14=0,Inputs!$B$41*(1+Inputs!$B$6),0)+IF(A14=1,Inputs!$B$37+Inputs!$B$38+Inputs!$B$20,0)+IF(A14=2,Inputs!$B$39,0))</f>
        <v>-0</v>
      </c>
      <c r="H14" s="10" t="n">
        <f aca="false">-C14*IF(AND(Inputs!$B$25&gt;0,A14&gt;=1,A14&lt;=Inputs!$B$25),Inputs!$B$26,0)</f>
        <v>-0</v>
      </c>
      <c r="I14" s="10" t="n">
        <f aca="false">IF(A14=Inputs!$B$7,Inputs!$B$47+Inputs!$B$48+Inputs!$B$44,0)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IF(K14&gt;0,Inputs!$B$29*K14,0)</f>
        <v>0</v>
      </c>
      <c r="M14" s="10" t="n">
        <f aca="false">Q13</f>
        <v>0</v>
      </c>
      <c r="N14" s="10" t="n">
        <f aca="false">M14*Inputs!$B$30</f>
        <v>0</v>
      </c>
      <c r="O14" s="10" t="n">
        <f aca="false">L14*Inputs!$B$31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-7488312.17425194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C15*IF(A15=0,0,IF(A15=1,350000,Inputs!$B$19))</f>
        <v>0</v>
      </c>
      <c r="E15" s="10" t="n">
        <f aca="false">C15*IF(A15&lt;2,0,IF(A15-1&lt;=Inputs!$B$12,0,IF(A15-2&lt;Inputs!$B$12,A15-1-Inputs!$B$12,1)*Inputs!$B$36*(1+Inputs!$B$14)^(5*INT((A15-2)/5))))</f>
        <v>0</v>
      </c>
      <c r="F15" s="10" t="n">
        <f aca="false">C15*(IF(A15=0,IF(Inputs!$B$25=0,Inputs!$B$42,0),0)+IF(A15=1,Inputs!$B$43,0)+IF(AND(Inputs!$B$25&gt;0,A15=Inputs!$B$25),Inputs!$B$42,0))</f>
        <v>0</v>
      </c>
      <c r="G15" s="10" t="n">
        <f aca="false">-C15*(IF(A15=0,Inputs!$B$41*(1+Inputs!$B$6),0)+IF(A15=1,Inputs!$B$37+Inputs!$B$38+Inputs!$B$20,0)+IF(A15=2,Inputs!$B$39,0))</f>
        <v>-0</v>
      </c>
      <c r="H15" s="10" t="n">
        <f aca="false">-C15*IF(AND(Inputs!$B$25&gt;0,A15&gt;=1,A15&lt;=Inputs!$B$25),Inputs!$B$26,0)</f>
        <v>-0</v>
      </c>
      <c r="I15" s="10" t="n">
        <f aca="false">IF(A15=Inputs!$B$7,Inputs!$B$47+Inputs!$B$48+Inputs!$B$44,0)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IF(K15&gt;0,Inputs!$B$29*K15,0)</f>
        <v>0</v>
      </c>
      <c r="M15" s="10" t="n">
        <f aca="false">Q14</f>
        <v>0</v>
      </c>
      <c r="N15" s="10" t="n">
        <f aca="false">M15*Inputs!$B$30</f>
        <v>0</v>
      </c>
      <c r="O15" s="10" t="n">
        <f aca="false">L15*Inputs!$B$31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-7488312.17425194</v>
      </c>
    </row>
    <row r="16" customFormat="false" ht="15" hidden="false" customHeight="false" outlineLevel="0" collapsed="false">
      <c r="A16" s="2"/>
      <c r="B16" s="13" t="s">
        <v>93</v>
      </c>
      <c r="C16" s="2"/>
      <c r="D16" s="14" t="n">
        <f aca="false">SUM(D5:D15)</f>
        <v>550000</v>
      </c>
      <c r="E16" s="14" t="n">
        <f aca="false">SUM(E5:E15)</f>
        <v>0</v>
      </c>
      <c r="F16" s="14" t="n">
        <f aca="false">SUM(F5:F15)</f>
        <v>10000000</v>
      </c>
      <c r="G16" s="14" t="n">
        <f aca="false">SUM(G5:G15)</f>
        <v>-39031507.5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-4118800.16987694</v>
      </c>
      <c r="K16" s="14" t="n">
        <f aca="false">SUM(K5:K15)</f>
        <v>29031507.5</v>
      </c>
      <c r="L16" s="14" t="n">
        <f aca="false">SUM(L5:L15)</f>
        <v>15967329.125</v>
      </c>
      <c r="M16" s="14" t="n">
        <f aca="false">SUM(M5:M15)</f>
        <v>44714315.25</v>
      </c>
      <c r="N16" s="14" t="n">
        <f aca="false">SUM(N5:N15)</f>
        <v>3130002.0675</v>
      </c>
      <c r="O16" s="14" t="n">
        <f aca="false">SUM(O5:O15)</f>
        <v>239509.936875</v>
      </c>
      <c r="P16" s="14" t="n">
        <f aca="false">SUM(P5:P15)</f>
        <v>15967329.125</v>
      </c>
      <c r="Q16" s="14" t="n">
        <f aca="false">SUM(Q5:Q15)</f>
        <v>44714315.25</v>
      </c>
      <c r="R16" s="14" t="n">
        <f aca="false">SUM(R5:R15)</f>
        <v>-3369512.004375</v>
      </c>
      <c r="S16" s="14" t="n">
        <f aca="false">SUM(S5:S15)</f>
        <v>-7488312.17425194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94</v>
      </c>
      <c r="B1" s="2"/>
    </row>
    <row r="2" customFormat="false" ht="15" hidden="false" customHeight="false" outlineLevel="0" collapsed="false">
      <c r="A2" s="3" t="s">
        <v>95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96</v>
      </c>
      <c r="B4" s="2"/>
    </row>
    <row r="5" customFormat="false" ht="15" hidden="false" customHeight="false" outlineLevel="0" collapsed="false">
      <c r="A5" s="5" t="s">
        <v>97</v>
      </c>
      <c r="B5" s="10" t="n">
        <f aca="false">'Cash flow'!D16+'Cash flow'!E16</f>
        <v>550000</v>
      </c>
    </row>
    <row r="6" customFormat="false" ht="15" hidden="false" customHeight="false" outlineLevel="0" collapsed="false">
      <c r="A6" s="5" t="s">
        <v>98</v>
      </c>
      <c r="B6" s="10" t="n">
        <f aca="false">Inputs!$B$43</f>
        <v>3000000</v>
      </c>
    </row>
    <row r="7" customFormat="false" ht="15" hidden="false" customHeight="false" outlineLevel="0" collapsed="false">
      <c r="A7" s="5" t="s">
        <v>99</v>
      </c>
      <c r="B7" s="10" t="n">
        <f aca="false">Inputs!$B$42</f>
        <v>7000000</v>
      </c>
    </row>
    <row r="8" customFormat="false" ht="15" hidden="false" customHeight="false" outlineLevel="0" collapsed="false">
      <c r="A8" s="5" t="s">
        <v>100</v>
      </c>
      <c r="B8" s="10" t="n">
        <f aca="false">'Cash flow'!I16</f>
        <v>24362707.3301231</v>
      </c>
    </row>
    <row r="9" customFormat="false" ht="15" hidden="false" customHeight="false" outlineLevel="0" collapsed="false">
      <c r="A9" s="5" t="s">
        <v>101</v>
      </c>
      <c r="B9" s="10" t="n">
        <f aca="false">SUM(B5:B8)</f>
        <v>34912707.3301231</v>
      </c>
    </row>
    <row r="10" customFormat="false" ht="15" hidden="false" customHeight="false" outlineLevel="0" collapsed="false">
      <c r="A10" s="4" t="s">
        <v>102</v>
      </c>
      <c r="B10" s="2"/>
    </row>
    <row r="11" customFormat="false" ht="15" hidden="false" customHeight="false" outlineLevel="0" collapsed="false">
      <c r="A11" s="5" t="s">
        <v>103</v>
      </c>
      <c r="B11" s="10" t="n">
        <f aca="false">-'Cash flow'!G16-'Cash flow'!H16</f>
        <v>39031507.5</v>
      </c>
    </row>
    <row r="12" customFormat="false" ht="15" hidden="false" customHeight="false" outlineLevel="0" collapsed="false">
      <c r="A12" s="5" t="s">
        <v>104</v>
      </c>
      <c r="B12" s="10" t="n">
        <f aca="false">'Cash flow'!N16+'Cash flow'!O16</f>
        <v>3369512.004375</v>
      </c>
    </row>
    <row r="13" customFormat="false" ht="15" hidden="false" customHeight="false" outlineLevel="0" collapsed="false">
      <c r="A13" s="5" t="s">
        <v>105</v>
      </c>
      <c r="B13" s="10" t="n">
        <f aca="false">B11+B12</f>
        <v>42401019.504375</v>
      </c>
    </row>
    <row r="14" customFormat="false" ht="15" hidden="false" customHeight="false" outlineLevel="0" collapsed="false">
      <c r="A14" s="5" t="s">
        <v>106</v>
      </c>
      <c r="B14" s="15" t="n">
        <f aca="false">(B9-B13)/B13</f>
        <v>-0.176606889687624</v>
      </c>
    </row>
    <row r="15" customFormat="false" ht="15" hidden="false" customHeight="false" outlineLevel="0" collapsed="false">
      <c r="A15" s="4" t="s">
        <v>107</v>
      </c>
      <c r="B15" s="2"/>
    </row>
    <row r="16" customFormat="false" ht="15" hidden="false" customHeight="false" outlineLevel="0" collapsed="false">
      <c r="A16" s="5" t="s">
        <v>108</v>
      </c>
      <c r="B16" s="10" t="n">
        <f aca="false">B9-B13</f>
        <v>-7488312.17425194</v>
      </c>
    </row>
    <row r="17" customFormat="false" ht="15" hidden="false" customHeight="false" outlineLevel="0" collapsed="false">
      <c r="A17" s="5" t="s">
        <v>109</v>
      </c>
      <c r="B17" s="15" t="n">
        <f aca="false">B16/B9</f>
        <v>-0.214486722655019</v>
      </c>
    </row>
    <row r="18" customFormat="false" ht="15" hidden="false" customHeight="false" outlineLevel="0" collapsed="false">
      <c r="A18" s="5" t="s">
        <v>110</v>
      </c>
      <c r="B18" s="15" t="n">
        <f aca="false">(Inputs!$B$36+Inputs!$B$19)/(B11-Inputs!$B$42-Inputs!$B$43)</f>
        <v>0.0655928735357611</v>
      </c>
    </row>
    <row r="19" customFormat="false" ht="15" hidden="false" customHeight="false" outlineLevel="0" collapsed="false">
      <c r="A19" s="5" t="s">
        <v>111</v>
      </c>
      <c r="B19" s="15" t="n">
        <f aca="false">IRR('Cash flow'!J5:J15)</f>
        <v>-0.0538941068036766</v>
      </c>
    </row>
    <row r="20" customFormat="false" ht="15" hidden="false" customHeight="false" outlineLevel="0" collapsed="false">
      <c r="A20" s="5" t="s">
        <v>112</v>
      </c>
      <c r="B20" s="15" t="n">
        <f aca="false">IRR('Cash flow'!S5:S15)</f>
        <v>-0.237603166499829</v>
      </c>
    </row>
    <row r="21" customFormat="false" ht="15" hidden="false" customHeight="false" outlineLevel="0" collapsed="false">
      <c r="A21" s="5" t="s">
        <v>113</v>
      </c>
      <c r="B21" s="16" t="n">
        <f aca="false">SUMIF('Cash flow'!S5:S15,"&gt;0")/-SUMIF('Cash flow'!S5:S15,"&lt;0")</f>
        <v>0.496278515520923</v>
      </c>
    </row>
    <row r="22" customFormat="false" ht="15" hidden="false" customHeight="false" outlineLevel="0" collapsed="false">
      <c r="A22" s="5" t="s">
        <v>114</v>
      </c>
      <c r="B22" s="10" t="n">
        <f aca="false">-MIN('Cash flow'!T5:T15)</f>
        <v>14865977.340625</v>
      </c>
    </row>
    <row r="23" customFormat="false" ht="15" hidden="false" customHeight="false" outlineLevel="0" collapsed="false">
      <c r="A23" s="5" t="s">
        <v>115</v>
      </c>
      <c r="B23" s="10" t="n">
        <f aca="false">MAX('Cash flow'!Q5:Q15)</f>
        <v>15967329.125</v>
      </c>
    </row>
    <row r="24" customFormat="false" ht="15" hidden="false" customHeight="false" outlineLevel="0" collapsed="false">
      <c r="A24" s="5" t="s">
        <v>116</v>
      </c>
      <c r="B24" s="15" t="n">
        <f aca="false">(Inputs!$B$36+Inputs!$B$19-B23*Inputs!$B$30)/B22</f>
        <v>0.05290919952505</v>
      </c>
    </row>
    <row r="25" customFormat="false" ht="15" hidden="false" customHeight="false" outlineLevel="0" collapsed="false">
      <c r="A25" s="4" t="s">
        <v>117</v>
      </c>
      <c r="B25" s="2"/>
    </row>
    <row r="26" customFormat="false" ht="15" hidden="false" customHeight="false" outlineLevel="0" collapsed="false">
      <c r="A26" s="5" t="s">
        <v>118</v>
      </c>
      <c r="B26" s="10" t="n">
        <f aca="false">(Inputs!$B$36/Inputs!$B$17+Inputs!$B$19/Inputs!$B$21)/(1+Inputs!$B$6)+Inputs!$B$44</f>
        <v>24362707.3301231</v>
      </c>
    </row>
    <row r="27" customFormat="false" ht="15" hidden="false" customHeight="false" outlineLevel="0" collapsed="false">
      <c r="A27" s="5" t="s">
        <v>119</v>
      </c>
      <c r="B27" s="10" t="n">
        <f aca="false">'Cash flow'!Q7</f>
        <v>15967329.125</v>
      </c>
    </row>
    <row r="28" customFormat="false" ht="15" hidden="false" customHeight="false" outlineLevel="0" collapsed="false">
      <c r="A28" s="5" t="s">
        <v>120</v>
      </c>
      <c r="B28" s="10" t="n">
        <f aca="false">B26*Inputs!$B$32</f>
        <v>13399489.0315677</v>
      </c>
    </row>
    <row r="29" customFormat="false" ht="15" hidden="false" customHeight="false" outlineLevel="0" collapsed="false">
      <c r="A29" s="5" t="s">
        <v>121</v>
      </c>
      <c r="B29" s="10" t="n">
        <f aca="false">B28-B27</f>
        <v>-2567840.09343232</v>
      </c>
    </row>
    <row r="30" customFormat="false" ht="15" hidden="false" customHeight="false" outlineLevel="0" collapsed="false">
      <c r="A30" s="5" t="s">
        <v>122</v>
      </c>
      <c r="B30" s="15" t="n">
        <f aca="false">(Inputs!$B$36+Inputs!$B$19)/B28</f>
        <v>0.142114374325303</v>
      </c>
    </row>
    <row r="31" customFormat="false" ht="15" hidden="false" customHeight="false" outlineLevel="0" collapsed="false">
      <c r="A31" s="5" t="s">
        <v>123</v>
      </c>
      <c r="B31" s="16" t="n">
        <f aca="false">(Inputs!$B$36+Inputs!$B$19)/(B28*Inputs!$B$33)</f>
        <v>2.36857290542172</v>
      </c>
    </row>
    <row r="32" customFormat="false" ht="15" hidden="false" customHeight="false" outlineLevel="0" collapsed="false">
      <c r="A32" s="5" t="s">
        <v>124</v>
      </c>
      <c r="B32" s="10" t="n">
        <f aca="false">MAX(0,(B28*Inputs!$B$33-Inputs!$B$19)*Inputs!$B$12)</f>
        <v>1407938.68378812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2026-10-17T17:08:12Z</dcterms:created>
  <dc:creator>openpyxl</dc:creator>
  <dc:description/>
  <dc:language>en-US</dc:language>
  <cp:lastModifiedBy/>
  <dcterms:modified xsi:type="dcterms:W3CDTF">2026-10-17T17:08:12Z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
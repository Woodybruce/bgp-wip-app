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nightfrank-my.sharepoint.com/personal/lucy_butlin_knightfrank_com/Documents/Documents/LVB/Capital Markets and Development/Bank of England Sports Ground/Data room/"/>
    </mc:Choice>
  </mc:AlternateContent>
  <xr:revisionPtr revIDLastSave="0" documentId="8_{48A063DD-201E-47D3-A6E6-418B4D478E1E}" xr6:coauthVersionLast="47" xr6:coauthVersionMax="47" xr10:uidLastSave="{00000000-0000-0000-0000-000000000000}"/>
  <bookViews>
    <workbookView xWindow="-98" yWindow="-98" windowWidth="19396" windowHeight="11475" xr2:uid="{0F8CA1FA-C665-4842-89CD-5B2AD7FFD939}"/>
  </bookViews>
  <sheets>
    <sheet name="Summary of Are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6" i="1" l="1"/>
  <c r="H36" i="1" s="1"/>
  <c r="E36" i="1"/>
  <c r="F36" i="1" s="1"/>
  <c r="H35" i="1"/>
  <c r="F35" i="1"/>
  <c r="H34" i="1"/>
  <c r="F34" i="1"/>
  <c r="H33" i="1"/>
  <c r="F33" i="1"/>
  <c r="H32" i="1"/>
  <c r="F32" i="1"/>
  <c r="H31" i="1"/>
  <c r="F31" i="1"/>
  <c r="H30" i="1"/>
  <c r="F30" i="1"/>
  <c r="G29" i="1"/>
  <c r="F29" i="1"/>
  <c r="E29" i="1"/>
  <c r="H28" i="1"/>
  <c r="F28" i="1"/>
  <c r="H27" i="1"/>
  <c r="H29" i="1" s="1"/>
  <c r="F27" i="1"/>
  <c r="G26" i="1"/>
  <c r="F26" i="1"/>
  <c r="E26" i="1"/>
  <c r="H25" i="1"/>
  <c r="H26" i="1" s="1"/>
  <c r="F25" i="1"/>
  <c r="H24" i="1"/>
  <c r="F24" i="1"/>
  <c r="G23" i="1"/>
  <c r="F23" i="1"/>
  <c r="E23" i="1"/>
  <c r="H22" i="1"/>
  <c r="H23" i="1" s="1"/>
  <c r="F22" i="1"/>
  <c r="H21" i="1"/>
  <c r="F21" i="1"/>
  <c r="G20" i="1"/>
  <c r="F20" i="1"/>
  <c r="E20" i="1"/>
  <c r="H19" i="1"/>
  <c r="H20" i="1" s="1"/>
  <c r="F19" i="1"/>
  <c r="H18" i="1"/>
  <c r="F18" i="1"/>
  <c r="G17" i="1"/>
  <c r="E17" i="1"/>
  <c r="F16" i="1"/>
  <c r="H15" i="1"/>
  <c r="F15" i="1"/>
  <c r="H14" i="1"/>
  <c r="F14" i="1"/>
  <c r="H13" i="1"/>
  <c r="H17" i="1" s="1"/>
  <c r="F13" i="1"/>
  <c r="F17" i="1" s="1"/>
  <c r="G12" i="1"/>
  <c r="E12" i="1"/>
  <c r="H11" i="1"/>
  <c r="F11" i="1"/>
  <c r="H10" i="1"/>
  <c r="F10" i="1"/>
  <c r="H9" i="1"/>
  <c r="H12" i="1" s="1"/>
  <c r="F9" i="1"/>
  <c r="F8" i="1"/>
  <c r="F12" i="1" s="1"/>
</calcChain>
</file>

<file path=xl/sharedStrings.xml><?xml version="1.0" encoding="utf-8"?>
<sst xmlns="http://schemas.openxmlformats.org/spreadsheetml/2006/main" count="48" uniqueCount="24">
  <si>
    <t>SUMMARY OF AREAS</t>
  </si>
  <si>
    <t>BANK OF ENGLAND  SPORTS CENTRE, PRIORY LANE, LONDON, SW15 5JQ</t>
  </si>
  <si>
    <t>BUILDING</t>
  </si>
  <si>
    <t>LEVEL</t>
  </si>
  <si>
    <t>GIA (sq m)</t>
  </si>
  <si>
    <t>GIA (sq ft)</t>
  </si>
  <si>
    <t>NIA (sq m)</t>
  </si>
  <si>
    <t>NIA (sq ft)</t>
  </si>
  <si>
    <t>Sports Club</t>
  </si>
  <si>
    <t>Basement</t>
  </si>
  <si>
    <t>N/A</t>
  </si>
  <si>
    <t>Ground floor</t>
  </si>
  <si>
    <t>First floor</t>
  </si>
  <si>
    <t>Second floor</t>
  </si>
  <si>
    <t>Total</t>
  </si>
  <si>
    <t>Pavilion</t>
  </si>
  <si>
    <t>Roof</t>
  </si>
  <si>
    <t>Squash Courts</t>
  </si>
  <si>
    <t>1 Bank Lane (3 Beds)</t>
  </si>
  <si>
    <t>2 Bank Lane(4 Beds)</t>
  </si>
  <si>
    <t>Clarance Lodge (1 Bed)</t>
  </si>
  <si>
    <t>The Grange</t>
  </si>
  <si>
    <t>Third floor</t>
  </si>
  <si>
    <t>Fourth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</si>
</sst>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4" tint="-0.249977111117893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1" xfId="0" applyFill="1" applyBorder="1" applyAlignment="1">
      <alignment horizontal="right"/>
    </xf>
    <xf numFmtId="0" fontId="4" fillId="0" borderId="2" xfId="0" applyFont="1" applyBorder="1" applyAlignment="1">
      <alignment horizontal="right" vertical="center"/>
    </xf>
    <xf numFmtId="0" fontId="4" fillId="0" borderId="1" xfId="0" applyFont="1" applyBorder="1" applyAlignment="1">
      <alignment horizontal="right"/>
    </xf>
    <xf numFmtId="164" fontId="4" fillId="0" borderId="1" xfId="1" applyNumberFormat="1" applyFont="1" applyBorder="1" applyAlignment="1">
      <alignment horizontal="right"/>
    </xf>
    <xf numFmtId="0" fontId="4" fillId="0" borderId="3" xfId="0" applyFont="1" applyBorder="1" applyAlignment="1">
      <alignment horizontal="right" vertical="center"/>
    </xf>
    <xf numFmtId="0" fontId="4" fillId="3" borderId="1" xfId="0" applyFont="1" applyFill="1" applyBorder="1" applyAlignment="1">
      <alignment horizontal="right"/>
    </xf>
    <xf numFmtId="164" fontId="4" fillId="3" borderId="1" xfId="1" applyNumberFormat="1" applyFont="1" applyFill="1" applyBorder="1" applyAlignment="1">
      <alignment horizontal="right"/>
    </xf>
    <xf numFmtId="0" fontId="4" fillId="0" borderId="4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/>
    </xf>
    <xf numFmtId="164" fontId="5" fillId="4" borderId="1" xfId="1" applyNumberFormat="1" applyFont="1" applyFill="1" applyBorder="1" applyAlignment="1">
      <alignment horizontal="right"/>
    </xf>
    <xf numFmtId="0" fontId="4" fillId="3" borderId="2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/>
    </xf>
    <xf numFmtId="164" fontId="4" fillId="4" borderId="1" xfId="1" applyNumberFormat="1" applyFont="1" applyFill="1" applyBorder="1" applyAlignment="1">
      <alignment horizontal="right"/>
    </xf>
    <xf numFmtId="0" fontId="4" fillId="3" borderId="4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right"/>
    </xf>
    <xf numFmtId="164" fontId="6" fillId="3" borderId="1" xfId="1" applyNumberFormat="1" applyFont="1" applyFill="1" applyBorder="1" applyAlignment="1">
      <alignment horizontal="right"/>
    </xf>
    <xf numFmtId="0" fontId="6" fillId="4" borderId="1" xfId="0" applyFont="1" applyFill="1" applyBorder="1" applyAlignment="1">
      <alignment horizontal="right"/>
    </xf>
    <xf numFmtId="164" fontId="6" fillId="4" borderId="1" xfId="1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FB53A-ECED-48F9-97D3-8C42F9339112}">
  <dimension ref="B2:I36"/>
  <sheetViews>
    <sheetView tabSelected="1" topLeftCell="A10" zoomScale="76" workbookViewId="0">
      <selection activeCell="L21" sqref="L21"/>
    </sheetView>
  </sheetViews>
  <sheetFormatPr defaultRowHeight="14.25" x14ac:dyDescent="0.45"/>
  <cols>
    <col min="3" max="3" width="17.53125" bestFit="1" customWidth="1"/>
    <col min="4" max="4" width="9.9296875" bestFit="1" customWidth="1"/>
  </cols>
  <sheetData>
    <row r="2" spans="2:9" x14ac:dyDescent="0.45">
      <c r="D2" s="1"/>
      <c r="E2" s="1"/>
      <c r="F2" s="1"/>
      <c r="G2" s="1"/>
      <c r="I2" s="1"/>
    </row>
    <row r="3" spans="2:9" ht="21" x14ac:dyDescent="0.65">
      <c r="B3" s="2" t="s">
        <v>0</v>
      </c>
      <c r="C3" s="2"/>
      <c r="D3" s="2"/>
      <c r="E3" s="2"/>
      <c r="F3" s="2"/>
      <c r="G3" s="2"/>
      <c r="H3" s="2"/>
      <c r="I3" s="2"/>
    </row>
    <row r="4" spans="2:9" ht="18" x14ac:dyDescent="0.55000000000000004">
      <c r="B4" s="3" t="s">
        <v>1</v>
      </c>
      <c r="C4" s="3"/>
      <c r="D4" s="3"/>
      <c r="E4" s="3"/>
      <c r="F4" s="3"/>
      <c r="G4" s="3"/>
      <c r="H4" s="3"/>
      <c r="I4" s="3"/>
    </row>
    <row r="5" spans="2:9" x14ac:dyDescent="0.45">
      <c r="D5" s="1"/>
      <c r="E5" s="1"/>
      <c r="F5" s="1"/>
      <c r="G5" s="1"/>
      <c r="I5" s="1"/>
    </row>
    <row r="6" spans="2:9" x14ac:dyDescent="0.45">
      <c r="D6" s="1"/>
      <c r="E6" s="1"/>
      <c r="F6" s="1"/>
      <c r="G6" s="1"/>
      <c r="I6" s="1"/>
    </row>
    <row r="7" spans="2:9" x14ac:dyDescent="0.45">
      <c r="C7" s="4" t="s">
        <v>2</v>
      </c>
      <c r="D7" s="4" t="s">
        <v>3</v>
      </c>
      <c r="E7" s="4" t="s">
        <v>4</v>
      </c>
      <c r="F7" s="4" t="s">
        <v>5</v>
      </c>
      <c r="G7" s="4" t="s">
        <v>6</v>
      </c>
      <c r="H7" s="4" t="s">
        <v>7</v>
      </c>
      <c r="I7" s="1"/>
    </row>
    <row r="8" spans="2:9" x14ac:dyDescent="0.45">
      <c r="C8" s="5" t="s">
        <v>8</v>
      </c>
      <c r="D8" s="6" t="s">
        <v>9</v>
      </c>
      <c r="E8" s="7">
        <v>419.87</v>
      </c>
      <c r="F8" s="7">
        <f>E8*10.7639</f>
        <v>4519.4386930000001</v>
      </c>
      <c r="G8" s="7" t="s">
        <v>10</v>
      </c>
      <c r="H8" s="7" t="s">
        <v>10</v>
      </c>
      <c r="I8" s="1"/>
    </row>
    <row r="9" spans="2:9" x14ac:dyDescent="0.45">
      <c r="C9" s="8"/>
      <c r="D9" s="9" t="s">
        <v>11</v>
      </c>
      <c r="E9" s="10">
        <v>1728.68</v>
      </c>
      <c r="F9" s="10">
        <f t="shared" ref="F9:F28" si="0">E9*10.7639</f>
        <v>18607.338651999999</v>
      </c>
      <c r="G9" s="10">
        <v>1367.11</v>
      </c>
      <c r="H9" s="10">
        <f t="shared" ref="H9:H28" si="1">G9*10.7639</f>
        <v>14715.435328999998</v>
      </c>
      <c r="I9" s="1"/>
    </row>
    <row r="10" spans="2:9" x14ac:dyDescent="0.45">
      <c r="C10" s="8"/>
      <c r="D10" s="6" t="s">
        <v>12</v>
      </c>
      <c r="E10" s="7">
        <v>443.89</v>
      </c>
      <c r="F10" s="7">
        <f t="shared" si="0"/>
        <v>4777.9875709999997</v>
      </c>
      <c r="G10" s="7">
        <v>183.15</v>
      </c>
      <c r="H10" s="7">
        <f t="shared" si="1"/>
        <v>1971.408285</v>
      </c>
      <c r="I10" s="1"/>
    </row>
    <row r="11" spans="2:9" x14ac:dyDescent="0.45">
      <c r="C11" s="8"/>
      <c r="D11" s="9" t="s">
        <v>13</v>
      </c>
      <c r="E11" s="10">
        <v>415.5</v>
      </c>
      <c r="F11" s="10">
        <f t="shared" si="0"/>
        <v>4472.4004500000001</v>
      </c>
      <c r="G11" s="10">
        <v>306.54000000000002</v>
      </c>
      <c r="H11" s="10">
        <f t="shared" si="1"/>
        <v>3299.5659060000003</v>
      </c>
      <c r="I11" s="1"/>
    </row>
    <row r="12" spans="2:9" x14ac:dyDescent="0.45">
      <c r="C12" s="11"/>
      <c r="D12" s="12" t="s">
        <v>14</v>
      </c>
      <c r="E12" s="13">
        <f>SUM(E8:E11)</f>
        <v>3007.94</v>
      </c>
      <c r="F12" s="13">
        <f>SUM(F8:F11)</f>
        <v>32377.165366000001</v>
      </c>
      <c r="G12" s="13">
        <f>SUM(G8:G11)</f>
        <v>1856.8</v>
      </c>
      <c r="H12" s="13">
        <f>SUM(H8:H11)</f>
        <v>19986.409519999997</v>
      </c>
      <c r="I12" s="1"/>
    </row>
    <row r="13" spans="2:9" x14ac:dyDescent="0.45">
      <c r="C13" s="14" t="s">
        <v>15</v>
      </c>
      <c r="D13" s="9" t="s">
        <v>9</v>
      </c>
      <c r="E13" s="10">
        <v>208</v>
      </c>
      <c r="F13" s="10">
        <f t="shared" si="0"/>
        <v>2238.8912</v>
      </c>
      <c r="G13" s="10">
        <v>60.67</v>
      </c>
      <c r="H13" s="10">
        <f t="shared" si="1"/>
        <v>653.04581299999995</v>
      </c>
      <c r="I13" s="1"/>
    </row>
    <row r="14" spans="2:9" x14ac:dyDescent="0.45">
      <c r="C14" s="15"/>
      <c r="D14" s="16" t="s">
        <v>11</v>
      </c>
      <c r="E14" s="17">
        <v>1937.06</v>
      </c>
      <c r="F14" s="17">
        <f t="shared" si="0"/>
        <v>20850.320133999998</v>
      </c>
      <c r="G14" s="17">
        <v>1494.76</v>
      </c>
      <c r="H14" s="17">
        <f t="shared" si="1"/>
        <v>16089.447163999999</v>
      </c>
      <c r="I14" s="1"/>
    </row>
    <row r="15" spans="2:9" x14ac:dyDescent="0.45">
      <c r="C15" s="15"/>
      <c r="D15" s="9" t="s">
        <v>12</v>
      </c>
      <c r="E15" s="10">
        <v>609.07000000000005</v>
      </c>
      <c r="F15" s="10">
        <f t="shared" si="0"/>
        <v>6555.9685730000001</v>
      </c>
      <c r="G15" s="10">
        <v>410.09</v>
      </c>
      <c r="H15" s="10">
        <f t="shared" si="1"/>
        <v>4414.167751</v>
      </c>
      <c r="I15" s="1"/>
    </row>
    <row r="16" spans="2:9" x14ac:dyDescent="0.45">
      <c r="C16" s="15"/>
      <c r="D16" s="16" t="s">
        <v>16</v>
      </c>
      <c r="E16" s="17">
        <v>269.19</v>
      </c>
      <c r="F16" s="17">
        <f t="shared" si="0"/>
        <v>2897.5342409999998</v>
      </c>
      <c r="G16" s="17" t="s">
        <v>10</v>
      </c>
      <c r="H16" s="17" t="s">
        <v>10</v>
      </c>
      <c r="I16" s="1"/>
    </row>
    <row r="17" spans="3:9" x14ac:dyDescent="0.45">
      <c r="C17" s="18"/>
      <c r="D17" s="19" t="s">
        <v>14</v>
      </c>
      <c r="E17" s="20">
        <f>SUM(E13:E16)</f>
        <v>3023.32</v>
      </c>
      <c r="F17" s="20">
        <f>SUM(F13:F16)</f>
        <v>32542.714147999999</v>
      </c>
      <c r="G17" s="20">
        <f>SUM(G13:G16)</f>
        <v>1965.52</v>
      </c>
      <c r="H17" s="20">
        <f>SUM(H13:H16)</f>
        <v>21156.660727999999</v>
      </c>
      <c r="I17" s="1"/>
    </row>
    <row r="18" spans="3:9" x14ac:dyDescent="0.45">
      <c r="C18" s="5" t="s">
        <v>17</v>
      </c>
      <c r="D18" s="16" t="s">
        <v>11</v>
      </c>
      <c r="E18" s="17">
        <v>249.09</v>
      </c>
      <c r="F18" s="17">
        <f t="shared" si="0"/>
        <v>2681.1798509999999</v>
      </c>
      <c r="G18" s="17">
        <v>234.51</v>
      </c>
      <c r="H18" s="17">
        <f t="shared" si="1"/>
        <v>2524.2421889999996</v>
      </c>
      <c r="I18" s="1"/>
    </row>
    <row r="19" spans="3:9" x14ac:dyDescent="0.45">
      <c r="C19" s="8"/>
      <c r="D19" s="9" t="s">
        <v>12</v>
      </c>
      <c r="E19" s="10">
        <v>51.26</v>
      </c>
      <c r="F19" s="10">
        <f t="shared" si="0"/>
        <v>551.7575139999999</v>
      </c>
      <c r="G19" s="10">
        <v>46.53</v>
      </c>
      <c r="H19" s="10">
        <f t="shared" si="1"/>
        <v>500.844267</v>
      </c>
      <c r="I19" s="1"/>
    </row>
    <row r="20" spans="3:9" x14ac:dyDescent="0.45">
      <c r="C20" s="11"/>
      <c r="D20" s="21" t="s">
        <v>14</v>
      </c>
      <c r="E20" s="22">
        <f>SUM(E18:E19)</f>
        <v>300.35000000000002</v>
      </c>
      <c r="F20" s="22">
        <f>SUM(F18:F19)</f>
        <v>3232.9373649999998</v>
      </c>
      <c r="G20" s="22">
        <f>SUM(G18:G19)</f>
        <v>281.03999999999996</v>
      </c>
      <c r="H20" s="22">
        <f>SUM(H18:H19)</f>
        <v>3025.0864559999995</v>
      </c>
      <c r="I20" s="1"/>
    </row>
    <row r="21" spans="3:9" x14ac:dyDescent="0.45">
      <c r="C21" s="14" t="s">
        <v>18</v>
      </c>
      <c r="D21" s="9" t="s">
        <v>11</v>
      </c>
      <c r="E21" s="10">
        <v>45.34</v>
      </c>
      <c r="F21" s="10">
        <f t="shared" si="0"/>
        <v>488.03522600000002</v>
      </c>
      <c r="G21" s="10">
        <v>30.81</v>
      </c>
      <c r="H21" s="10">
        <f t="shared" si="1"/>
        <v>331.63575899999995</v>
      </c>
      <c r="I21" s="1"/>
    </row>
    <row r="22" spans="3:9" x14ac:dyDescent="0.45">
      <c r="C22" s="15"/>
      <c r="D22" s="16" t="s">
        <v>12</v>
      </c>
      <c r="E22" s="17">
        <v>45.34</v>
      </c>
      <c r="F22" s="17">
        <f t="shared" si="0"/>
        <v>488.03522600000002</v>
      </c>
      <c r="G22" s="17">
        <v>34.46</v>
      </c>
      <c r="H22" s="17">
        <f t="shared" si="1"/>
        <v>370.92399399999999</v>
      </c>
      <c r="I22" s="1"/>
    </row>
    <row r="23" spans="3:9" x14ac:dyDescent="0.45">
      <c r="C23" s="18"/>
      <c r="D23" s="19" t="s">
        <v>14</v>
      </c>
      <c r="E23" s="20">
        <f>SUM(E21:E22)</f>
        <v>90.68</v>
      </c>
      <c r="F23" s="20">
        <f>SUM(F21:F22)</f>
        <v>976.07045200000005</v>
      </c>
      <c r="G23" s="20">
        <f>SUM(G21:G22)</f>
        <v>65.27</v>
      </c>
      <c r="H23" s="20">
        <f>SUM(H21:H22)</f>
        <v>702.559753</v>
      </c>
      <c r="I23" s="1"/>
    </row>
    <row r="24" spans="3:9" x14ac:dyDescent="0.45">
      <c r="C24" s="5" t="s">
        <v>19</v>
      </c>
      <c r="D24" s="16" t="s">
        <v>11</v>
      </c>
      <c r="E24" s="17">
        <v>63.83</v>
      </c>
      <c r="F24" s="17">
        <f t="shared" si="0"/>
        <v>687.05973699999993</v>
      </c>
      <c r="G24" s="17">
        <v>47.69</v>
      </c>
      <c r="H24" s="17">
        <f t="shared" si="1"/>
        <v>513.33039099999996</v>
      </c>
      <c r="I24" s="1"/>
    </row>
    <row r="25" spans="3:9" x14ac:dyDescent="0.45">
      <c r="C25" s="8"/>
      <c r="D25" s="9" t="s">
        <v>12</v>
      </c>
      <c r="E25" s="10">
        <v>45.48</v>
      </c>
      <c r="F25" s="10">
        <f t="shared" si="0"/>
        <v>489.54217199999994</v>
      </c>
      <c r="G25" s="10">
        <v>33.799999999999997</v>
      </c>
      <c r="H25" s="10">
        <f t="shared" si="1"/>
        <v>363.81981999999994</v>
      </c>
      <c r="I25" s="1"/>
    </row>
    <row r="26" spans="3:9" x14ac:dyDescent="0.45">
      <c r="C26" s="11"/>
      <c r="D26" s="21" t="s">
        <v>14</v>
      </c>
      <c r="E26" s="22">
        <f>SUM(E24:E25)</f>
        <v>109.31</v>
      </c>
      <c r="F26" s="22">
        <f>SUM(F24:F25)</f>
        <v>1176.601909</v>
      </c>
      <c r="G26" s="22">
        <f>SUM(G24:G25)</f>
        <v>81.489999999999995</v>
      </c>
      <c r="H26" s="22">
        <f>SUM(H24:H25)</f>
        <v>877.1502109999999</v>
      </c>
      <c r="I26" s="1"/>
    </row>
    <row r="27" spans="3:9" x14ac:dyDescent="0.45">
      <c r="C27" s="14" t="s">
        <v>20</v>
      </c>
      <c r="D27" s="9" t="s">
        <v>11</v>
      </c>
      <c r="E27" s="10">
        <v>58.97</v>
      </c>
      <c r="F27" s="10">
        <f t="shared" si="0"/>
        <v>634.74718299999995</v>
      </c>
      <c r="G27" s="10">
        <v>39.21</v>
      </c>
      <c r="H27" s="10">
        <f t="shared" si="1"/>
        <v>422.05251900000002</v>
      </c>
      <c r="I27" s="1"/>
    </row>
    <row r="28" spans="3:9" x14ac:dyDescent="0.45">
      <c r="C28" s="15"/>
      <c r="D28" s="16" t="s">
        <v>12</v>
      </c>
      <c r="E28" s="17">
        <v>37.33</v>
      </c>
      <c r="F28" s="17">
        <f t="shared" si="0"/>
        <v>401.81638699999996</v>
      </c>
      <c r="G28" s="17">
        <v>28.53</v>
      </c>
      <c r="H28" s="17">
        <f t="shared" si="1"/>
        <v>307.094067</v>
      </c>
      <c r="I28" s="1"/>
    </row>
    <row r="29" spans="3:9" x14ac:dyDescent="0.45">
      <c r="C29" s="18"/>
      <c r="D29" s="19" t="s">
        <v>14</v>
      </c>
      <c r="E29" s="20">
        <f>SUM(E27:E28)</f>
        <v>96.3</v>
      </c>
      <c r="F29" s="20">
        <f>SUM(F27:F28)</f>
        <v>1036.5635699999998</v>
      </c>
      <c r="G29" s="20">
        <f>SUM(G27:G28)</f>
        <v>67.740000000000009</v>
      </c>
      <c r="H29" s="20">
        <f>SUM(H27:H28)</f>
        <v>729.14658600000007</v>
      </c>
      <c r="I29" s="1"/>
    </row>
    <row r="30" spans="3:9" x14ac:dyDescent="0.45">
      <c r="C30" s="5" t="s">
        <v>21</v>
      </c>
      <c r="D30" s="16" t="s">
        <v>9</v>
      </c>
      <c r="E30" s="17">
        <v>516.73</v>
      </c>
      <c r="F30" s="17">
        <f>E30*10.7639</f>
        <v>5562.0300470000002</v>
      </c>
      <c r="G30" s="17">
        <v>180.78</v>
      </c>
      <c r="H30" s="17">
        <f>G30*10.7639</f>
        <v>1945.8978419999999</v>
      </c>
      <c r="I30" s="1"/>
    </row>
    <row r="31" spans="3:9" x14ac:dyDescent="0.45">
      <c r="C31" s="8"/>
      <c r="D31" s="9" t="s">
        <v>11</v>
      </c>
      <c r="E31" s="10">
        <v>1308.93</v>
      </c>
      <c r="F31" s="10">
        <f t="shared" ref="F31:F36" si="2">E31*10.7639</f>
        <v>14089.191627</v>
      </c>
      <c r="G31" s="10">
        <v>943.46</v>
      </c>
      <c r="H31" s="10">
        <f t="shared" ref="H31:H36" si="3">G31*10.7639</f>
        <v>10155.309094</v>
      </c>
      <c r="I31" s="1"/>
    </row>
    <row r="32" spans="3:9" x14ac:dyDescent="0.45">
      <c r="C32" s="8"/>
      <c r="D32" s="16" t="s">
        <v>12</v>
      </c>
      <c r="E32" s="17">
        <v>974.06</v>
      </c>
      <c r="F32" s="17">
        <f t="shared" si="2"/>
        <v>10484.684433999999</v>
      </c>
      <c r="G32" s="17">
        <v>829.67</v>
      </c>
      <c r="H32" s="17">
        <f t="shared" si="3"/>
        <v>8930.4849129999984</v>
      </c>
      <c r="I32" s="1"/>
    </row>
    <row r="33" spans="3:9" x14ac:dyDescent="0.45">
      <c r="C33" s="8"/>
      <c r="D33" s="9" t="s">
        <v>13</v>
      </c>
      <c r="E33" s="10">
        <v>883.28</v>
      </c>
      <c r="F33" s="10">
        <f t="shared" si="2"/>
        <v>9507.5375919999988</v>
      </c>
      <c r="G33" s="10">
        <v>750.76</v>
      </c>
      <c r="H33" s="10">
        <f t="shared" si="3"/>
        <v>8081.1055639999995</v>
      </c>
      <c r="I33" s="1"/>
    </row>
    <row r="34" spans="3:9" x14ac:dyDescent="0.45">
      <c r="C34" s="8"/>
      <c r="D34" s="16" t="s">
        <v>22</v>
      </c>
      <c r="E34" s="17">
        <v>878.41</v>
      </c>
      <c r="F34" s="17">
        <f t="shared" si="2"/>
        <v>9455.1173989999988</v>
      </c>
      <c r="G34" s="17">
        <v>752.5</v>
      </c>
      <c r="H34" s="17">
        <f t="shared" si="3"/>
        <v>8099.83475</v>
      </c>
      <c r="I34" s="1"/>
    </row>
    <row r="35" spans="3:9" x14ac:dyDescent="0.45">
      <c r="C35" s="8"/>
      <c r="D35" s="9" t="s">
        <v>23</v>
      </c>
      <c r="E35" s="10">
        <v>799.57</v>
      </c>
      <c r="F35" s="10">
        <f t="shared" si="2"/>
        <v>8606.4915230000006</v>
      </c>
      <c r="G35" s="10">
        <v>670.44</v>
      </c>
      <c r="H35" s="10">
        <f t="shared" si="3"/>
        <v>7216.5491160000001</v>
      </c>
      <c r="I35" s="1"/>
    </row>
    <row r="36" spans="3:9" x14ac:dyDescent="0.45">
      <c r="C36" s="11"/>
      <c r="D36" s="21" t="s">
        <v>14</v>
      </c>
      <c r="E36" s="22">
        <f>SUM(E30:E35)</f>
        <v>5360.98</v>
      </c>
      <c r="F36" s="22">
        <f t="shared" si="2"/>
        <v>57705.052621999996</v>
      </c>
      <c r="G36" s="22">
        <f>SUM(G30:G35)</f>
        <v>4127.6100000000006</v>
      </c>
      <c r="H36" s="22">
        <f t="shared" si="3"/>
        <v>44429.181279000004</v>
      </c>
      <c r="I36" s="1"/>
    </row>
  </sheetData>
  <mergeCells count="9">
    <mergeCell ref="C24:C26"/>
    <mergeCell ref="C27:C29"/>
    <mergeCell ref="C30:C36"/>
    <mergeCell ref="B3:I3"/>
    <mergeCell ref="B4:I4"/>
    <mergeCell ref="C8:C12"/>
    <mergeCell ref="C13:C17"/>
    <mergeCell ref="C18:C20"/>
    <mergeCell ref="C21:C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62F5EAB07724CA69AC76520FC89A7" ma:contentTypeVersion="9513" ma:contentTypeDescription="Create a new document." ma:contentTypeScope="" ma:versionID="67d6aff5ee3a2673828318877a4f80de">
  <xsd:schema xmlns:xsd="http://www.w3.org/2001/XMLSchema" xmlns:xs="http://www.w3.org/2001/XMLSchema" xmlns:p="http://schemas.microsoft.com/office/2006/metadata/properties" xmlns:ns2="ccc13aeb-e747-4a8d-a2c1-29ea195b3336" xmlns:ns3="8fb79d66-99d0-494a-96e5-3bfc1846ca0c" targetNamespace="http://schemas.microsoft.com/office/2006/metadata/properties" ma:root="true" ma:fieldsID="1ea682e3246f9d2fd3f47fbeb8197e82" ns2:_="" ns3:_="">
    <xsd:import namespace="ccc13aeb-e747-4a8d-a2c1-29ea195b3336"/>
    <xsd:import namespace="8fb79d66-99d0-494a-96e5-3bfc1846c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13aeb-e747-4a8d-a2c1-29ea195b33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69fa79d-c3c7-4efd-ae3d-687d96d013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b79d66-99d0-494a-96e5-3bfc1846ca0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92e1e3-d7ef-45f5-b19b-f686a848de49}" ma:internalName="TaxCatchAll" ma:showField="CatchAllData" ma:web="8fb79d66-99d0-494a-96e5-3bfc1846ca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b79d66-99d0-494a-96e5-3bfc1846ca0c" xsi:nil="true"/>
    <lcf76f155ced4ddcb4097134ff3c332f xmlns="ccc13aeb-e747-4a8d-a2c1-29ea195b333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FD6087-B69F-49BA-8F25-EBBEC888D252}"/>
</file>

<file path=customXml/itemProps2.xml><?xml version="1.0" encoding="utf-8"?>
<ds:datastoreItem xmlns:ds="http://schemas.openxmlformats.org/officeDocument/2006/customXml" ds:itemID="{A1E5128C-FAC9-40C8-AC53-087328D61ACC}"/>
</file>

<file path=customXml/itemProps3.xml><?xml version="1.0" encoding="utf-8"?>
<ds:datastoreItem xmlns:ds="http://schemas.openxmlformats.org/officeDocument/2006/customXml" ds:itemID="{4401F8B1-16FD-497C-B6CB-05D4AD6F925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of 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Butlin</dc:creator>
  <cp:lastModifiedBy>Lucy Butlin</cp:lastModifiedBy>
  <dcterms:created xsi:type="dcterms:W3CDTF">2026-09-16T14:40:19Z</dcterms:created>
  <dcterms:modified xsi:type="dcterms:W3CDTF">2026-09-16T14:41:36Z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01f542-7346-4a82-af9c-f7141493d13d_Enabled">
    <vt:lpwstr>true</vt:lpwstr>
  </property>
  <property fmtid="{D5CDD505-2E9C-101B-9397-08002B2CF9AE}" pid="3" name="MSIP_Label_5601f542-7346-4a82-af9c-f7141493d13d_SetDate">
    <vt:lpwstr>2026-09-16T14:41:36Z</vt:lpwstr>
  </property>
  <property fmtid="{D5CDD505-2E9C-101B-9397-08002B2CF9AE}" pid="4" name="MSIP_Label_5601f542-7346-4a82-af9c-f7141493d13d_Method">
    <vt:lpwstr>Privileged</vt:lpwstr>
  </property>
  <property fmtid="{D5CDD505-2E9C-101B-9397-08002B2CF9AE}" pid="5" name="MSIP_Label_5601f542-7346-4a82-af9c-f7141493d13d_Name">
    <vt:lpwstr>Confidential</vt:lpwstr>
  </property>
  <property fmtid="{D5CDD505-2E9C-101B-9397-08002B2CF9AE}" pid="6" name="MSIP_Label_5601f542-7346-4a82-af9c-f7141493d13d_SiteId">
    <vt:lpwstr>99d6a2d9-b626-40e9-822a-688a6cda5a94</vt:lpwstr>
  </property>
  <property fmtid="{D5CDD505-2E9C-101B-9397-08002B2CF9AE}" pid="7" name="MSIP_Label_5601f542-7346-4a82-af9c-f7141493d13d_ActionId">
    <vt:lpwstr>54e785c7-673a-4ff2-a052-f207f3dc18b1</vt:lpwstr>
  </property>
  <property fmtid="{D5CDD505-2E9C-101B-9397-08002B2CF9AE}" pid="8" name="MSIP_Label_5601f542-7346-4a82-af9c-f7141493d13d_ContentBits">
    <vt:lpwstr>0</vt:lpwstr>
  </property>
  <property fmtid="{D5CDD505-2E9C-101B-9397-08002B2CF9AE}" pid="9" name="MSIP_Label_5601f542-7346-4a82-af9c-f7141493d13d_Tag">
    <vt:lpwstr>10, 0, 1, 1</vt:lpwstr>
  </property>
  <property fmtid="{D5CDD505-2E9C-101B-9397-08002B2CF9AE}" pid="10" name="ContentTypeId">
    <vt:lpwstr>0x0101008C962F5EAB07724CA69AC76520FC89A7</vt:lpwstr>
  </property>
  <property fmtid="{D5CDD505-2E9C-101B-9397-08002B2CF9AE}" pid="12" name="MediaServiceImageTags">
    <vt:lpwstr/>
  </property>
</Properties>
</file>
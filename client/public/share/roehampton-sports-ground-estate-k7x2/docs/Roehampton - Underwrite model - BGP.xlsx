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Cash flow" sheetId="2" state="visible" r:id="rId4"/>
    <sheet name="Outpu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<sst xmlns="http://schemas.openxmlformats.org/spreadsheetml/2006/main" count="133" uniqueCount="121">
  <si>
    <t xml:space="preserve">Roehampton Sports Ground Estate — underwrite model</t>
  </si>
  <si>
    <t xml:space="preserve">Bruce Gillingham Pollard with Related · 17 October 2026 · Blue cells are inputs and match the BGP defaults on the appraisal page; everything else is a formula.</t>
  </si>
  <si>
    <t xml:space="preserve">The bid</t>
  </si>
  <si>
    <t xml:space="preserve">Purchase price, whole estate</t>
  </si>
  <si>
    <t xml:space="preserve">£m</t>
  </si>
  <si>
    <t xml:space="preserve">Base case; no guide published. The appraisal page gives the bid for 15% on cost with the residential placeholder at £7m. Use Goal Seek on Outputs, Profit on cost, by changing this cell.</t>
  </si>
  <si>
    <t xml:space="preserve">Purchaser's costs</t>
  </si>
  <si>
    <t xml:space="preserve">%</t>
  </si>
  <si>
    <t xml:space="preserve">SDLT, legals, agents</t>
  </si>
  <si>
    <t xml:space="preserve">Hold period</t>
  </si>
  <si>
    <t xml:space="preserve">years</t>
  </si>
  <si>
    <t xml:space="preserve">Exit at the end of this year (1 to 10)</t>
  </si>
  <si>
    <t xml:space="preserve">Target profit on cost</t>
  </si>
  <si>
    <t xml:space="preserve">Third Space</t>
  </si>
  <si>
    <t xml:space="preserve">Area let</t>
  </si>
  <si>
    <t xml:space="preserve">sq ft GIA</t>
  </si>
  <si>
    <t xml:space="preserve">Sports Club 32,377 + permanent Pavilion 27,765; squash excluded; Knight Frank schedule and Principal Plans GIA agree</t>
  </si>
  <si>
    <t xml:space="preserve">Rent per sq ft GIA</t>
  </si>
  <si>
    <t xml:space="preserve">£</t>
  </si>
  <si>
    <t xml:space="preserve">Rent free</t>
  </si>
  <si>
    <t xml:space="preserve">Capital contribution</t>
  </si>
  <si>
    <t xml:space="preserve">years' rent</t>
  </si>
  <si>
    <t xml:space="preserve">CPI assumption</t>
  </si>
  <si>
    <t xml:space="preserve">% pa</t>
  </si>
  <si>
    <t xml:space="preserve">Reviews 5-yearly, compounded, capped at 3% pa</t>
  </si>
  <si>
    <t xml:space="preserve">Landlord's works</t>
  </si>
  <si>
    <t xml:space="preserve">£ psf</t>
  </si>
  <si>
    <t xml:space="preserve">Nil: Third Space fit out from the capital contribution and nothing more is spent on the leisure side</t>
  </si>
  <si>
    <t xml:space="preserve">Fees and contingency on works</t>
  </si>
  <si>
    <t xml:space="preserve">Exit yield, Third Space</t>
  </si>
  <si>
    <t xml:space="preserve">20 years, indexed</t>
  </si>
  <si>
    <t xml:space="preserve">All England Club</t>
  </si>
  <si>
    <t xml:space="preserve">New rent from completion</t>
  </si>
  <si>
    <t xml:space="preserve">£ pa</t>
  </si>
  <si>
    <t xml:space="preserve">All England Club rent from completion; surrender and regrant complete on the day of purchase</t>
  </si>
  <si>
    <t xml:space="preserve">Surrender premium to the Club</t>
  </si>
  <si>
    <t xml:space="preserve">Exit yield, grounds</t>
  </si>
  <si>
    <t xml:space="preserve">Other lots</t>
  </si>
  <si>
    <t xml:space="preserve">National Tennis Centre reversion at exit</t>
  </si>
  <si>
    <t xml:space="preserve">Peppercorn to 2129</t>
  </si>
  <si>
    <t xml:space="preserve">Year the residential value is taken in</t>
  </si>
  <si>
    <t xml:space="preserve">year</t>
  </si>
  <si>
    <t xml:space="preserve">Year the Grange value is taken in: 0 = on completion; otherwise end of that year. Everything is sold at once at the end of the hold.</t>
  </si>
  <si>
    <t xml:space="preserve">Grange holding cost until sold</t>
  </si>
  <si>
    <t xml:space="preserve">Grange holding cost until sold: 0 while Related's underwrite carries the conversion costs and value; c. £1,000,000 pa if held empty</t>
  </si>
  <si>
    <t xml:space="preserve">The Grange and cottages, exit valuation</t>
  </si>
  <si>
    <t xml:space="preserve">BGP's exit valuation of The Grange and the cottages together, sold with everything else at the end of the hold; Related are underwriting the conversion</t>
  </si>
  <si>
    <t xml:space="preserve">Debt</t>
  </si>
  <si>
    <t xml:space="preserve">Loan to value</t>
  </si>
  <si>
    <t xml:space="preserve">One loan on purchase, sized on the valuation after the lettings; no refinance</t>
  </si>
  <si>
    <t xml:space="preserve">All-in interest rate</t>
  </si>
  <si>
    <t xml:space="preserve">Arrangement and exit fees</t>
  </si>
  <si>
    <t xml:space="preserve">% of the loan</t>
  </si>
  <si>
    <t xml:space="preserve">Derived</t>
  </si>
  <si>
    <t xml:space="preserve">Third Space headline rent, £ pa</t>
  </si>
  <si>
    <t xml:space="preserve">Landlord's works, £</t>
  </si>
  <si>
    <t xml:space="preserve">Fees and contingency, £</t>
  </si>
  <si>
    <t xml:space="preserve">Capital contribution, £</t>
  </si>
  <si>
    <t xml:space="preserve">Rent free cost, £</t>
  </si>
  <si>
    <t xml:space="preserve">Purchase price, £</t>
  </si>
  <si>
    <t xml:space="preserve">Grange price, £</t>
  </si>
  <si>
    <t xml:space="preserve">NTC reversion, £</t>
  </si>
  <si>
    <t xml:space="preserve">Rent at exit, Third Space, £ pa</t>
  </si>
  <si>
    <t xml:space="preserve">Rent free a purchaser still bears at exit, years</t>
  </si>
  <si>
    <t xml:space="preserve">Third Space value at exit, £</t>
  </si>
  <si>
    <t xml:space="preserve">Grounds value at exit, £</t>
  </si>
  <si>
    <t xml:space="preserve">Valuation after the lettings, £</t>
  </si>
  <si>
    <t xml:space="preserve">Day-one cost, £</t>
  </si>
  <si>
    <t xml:space="preserve">Loan drawn on completion, £</t>
  </si>
  <si>
    <t xml:space="preserve">Annual cash flow, £</t>
  </si>
  <si>
    <t xml:space="preserve">Completion January 2027 (year 0): purchase, Third Space lease, capital contribution and the Club's surrender and regrant all on the same day. Nothing more spent on the leisure side; everything sold as one lot at the end of the hold year. Rows beyond the hold year are zero.</t>
  </si>
  <si>
    <t xml:space="preserve">Year</t>
  </si>
  <si>
    <t xml:space="preserve">Period</t>
  </si>
  <si>
    <t xml:space="preserve">Active</t>
  </si>
  <si>
    <t xml:space="preserve">Club rent</t>
  </si>
  <si>
    <t xml:space="preserve">Third Space rent</t>
  </si>
  <si>
    <t xml:space="preserve">Capital receipts</t>
  </si>
  <si>
    <t xml:space="preserve">Purchase, works and incentives</t>
  </si>
  <si>
    <t xml:space="preserve">Grange holding</t>
  </si>
  <si>
    <t xml:space="preserve">Exit proceeds</t>
  </si>
  <si>
    <t xml:space="preserve">Net before debt</t>
  </si>
  <si>
    <t xml:space="preserve">Funding need</t>
  </si>
  <si>
    <t xml:space="preserve">Debt drawn</t>
  </si>
  <si>
    <t xml:space="preserve">Opening balance</t>
  </si>
  <si>
    <t xml:space="preserve">Interest</t>
  </si>
  <si>
    <t xml:space="preserve">Fees</t>
  </si>
  <si>
    <t xml:space="preserve">Repayment</t>
  </si>
  <si>
    <t xml:space="preserve">Closing balance</t>
  </si>
  <si>
    <t xml:space="preserve">Debt cash flow</t>
  </si>
  <si>
    <t xml:space="preserve">Equity cash flow</t>
  </si>
  <si>
    <t xml:space="preserve">Cumulative equity</t>
  </si>
  <si>
    <t xml:space="preserve">Total</t>
  </si>
  <si>
    <t xml:space="preserve">Outputs</t>
  </si>
  <si>
    <t xml:space="preserve">All figures recompute from Inputs. For the breakeven bid, Goal Seek Outputs!B13 to the target by changing the purchase price on Inputs; for the residential breakeven, change the Grange and cottages placeholder instead.</t>
  </si>
  <si>
    <t xml:space="preserve">Receipts</t>
  </si>
  <si>
    <t xml:space="preserve">Rent received during the hold</t>
  </si>
  <si>
    <t xml:space="preserve">Exit: Third Space, grounds and NTC reversion</t>
  </si>
  <si>
    <t xml:space="preserve">Total receipts</t>
  </si>
  <si>
    <t xml:space="preserve">Costs</t>
  </si>
  <si>
    <t xml:space="preserve">Purchase, works, incentives, premium and Grange holding</t>
  </si>
  <si>
    <t xml:space="preserve">Interest and fees</t>
  </si>
  <si>
    <t xml:space="preserve">Total cost</t>
  </si>
  <si>
    <t xml:space="preserve">Profit on cost</t>
  </si>
  <si>
    <t xml:space="preserve">Returns</t>
  </si>
  <si>
    <t xml:space="preserve">Profit</t>
  </si>
  <si>
    <t xml:space="preserve">Profit on receipts</t>
  </si>
  <si>
    <t xml:space="preserve">Yield on cost, stabilised rent over cost net of the residential value</t>
  </si>
  <si>
    <t xml:space="preserve">Unlevered IRR</t>
  </si>
  <si>
    <t xml:space="preserve">Levered IRR on equity</t>
  </si>
  <si>
    <t xml:space="preserve">Equity multiple</t>
  </si>
  <si>
    <t xml:space="preserve">Peak equity</t>
  </si>
  <si>
    <t xml:space="preserve">Peak debt</t>
  </si>
  <si>
    <t xml:space="preserve">Cash on cash, first full rent year if held</t>
  </si>
  <si>
    <t xml:space="preserve">Debt on purchase, sized on the valuation after the lettings</t>
  </si>
  <si>
    <t xml:space="preserve">Valuation after the lettings</t>
  </si>
  <si>
    <t xml:space="preserve">Loan drawn on completion</t>
  </si>
  <si>
    <t xml:space="preserve">Loan to cost, implied</t>
  </si>
  <si>
    <t xml:space="preserve">Equity on day one</t>
  </si>
  <si>
    <t xml:space="preserve">Debt yield</t>
  </si>
  <si>
    <t xml:space="preserve">Interest cover once rent is paying</t>
  </si>
  <si>
    <t xml:space="preserve">Interest shortfall during the rent-free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</si>
</sst>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"/>
    <numFmt numFmtId="166" formatCode="0.0%"/>
    <numFmt numFmtId="167" formatCode="#,##0"/>
    <numFmt numFmtId="168" formatCode="\£#,##0;&quot;(£&quot;#,##0\);\-"/>
    <numFmt numFmtId="169" formatCode="0.0"/>
    <numFmt numFmtId="170" formatCode="0.00\x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6E0C25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7A6E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6EEEA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6E0C25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6EEEA"/>
      <rgbColor rgb="FFFF0000"/>
      <rgbColor rgb="FF00FF00"/>
      <rgbColor rgb="FF0000FF"/>
      <rgbColor rgb="FFFFFF00"/>
      <rgbColor rgb="FFFF00FF"/>
      <rgbColor rgb="FF00FFFF"/>
      <rgbColor rgb="FF6E0C25"/>
      <rgbColor rgb="FF008000"/>
      <rgbColor rgb="FF000080"/>
      <rgbColor rgb="FF808000"/>
      <rgbColor rgb="FF800080"/>
      <rgbColor rgb="FF008080"/>
      <rgbColor rgb="FFC0C0C0"/>
      <rgbColor rgb="FF7A6E55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10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3" t="s">
        <v>1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4" t="s">
        <v>2</v>
      </c>
      <c r="B4" s="2"/>
      <c r="C4" s="2"/>
      <c r="D4" s="2"/>
    </row>
    <row r="5" customFormat="false" ht="15" hidden="false" customHeight="false" outlineLevel="0" collapsed="false">
      <c r="A5" s="5" t="s">
        <v>3</v>
      </c>
      <c r="B5" s="6" t="n">
        <v>18</v>
      </c>
      <c r="C5" s="3" t="s">
        <v>4</v>
      </c>
      <c r="D5" s="3" t="s">
        <v>5</v>
      </c>
    </row>
    <row r="6" customFormat="false" ht="15" hidden="false" customHeight="false" outlineLevel="0" collapsed="false">
      <c r="A6" s="5" t="s">
        <v>6</v>
      </c>
      <c r="B6" s="7" t="n">
        <v>0.068</v>
      </c>
      <c r="C6" s="3" t="s">
        <v>7</v>
      </c>
      <c r="D6" s="3" t="s">
        <v>8</v>
      </c>
    </row>
    <row r="7" customFormat="false" ht="15" hidden="false" customHeight="false" outlineLevel="0" collapsed="false">
      <c r="A7" s="5" t="s">
        <v>9</v>
      </c>
      <c r="B7" s="8" t="n">
        <v>3</v>
      </c>
      <c r="C7" s="3" t="s">
        <v>10</v>
      </c>
      <c r="D7" s="3" t="s">
        <v>11</v>
      </c>
    </row>
    <row r="8" customFormat="false" ht="15" hidden="false" customHeight="false" outlineLevel="0" collapsed="false">
      <c r="A8" s="5" t="s">
        <v>12</v>
      </c>
      <c r="B8" s="7" t="n">
        <v>0.15</v>
      </c>
      <c r="C8" s="3" t="s">
        <v>7</v>
      </c>
      <c r="D8" s="2"/>
    </row>
    <row r="9" customFormat="false" ht="15" hidden="false" customHeight="false" outlineLevel="0" collapsed="false">
      <c r="A9" s="4" t="s">
        <v>13</v>
      </c>
      <c r="B9" s="2"/>
      <c r="C9" s="2"/>
      <c r="D9" s="2"/>
    </row>
    <row r="10" customFormat="false" ht="15" hidden="false" customHeight="false" outlineLevel="0" collapsed="false">
      <c r="A10" s="5" t="s">
        <v>14</v>
      </c>
      <c r="B10" s="8" t="n">
        <v>60142</v>
      </c>
      <c r="C10" s="3" t="s">
        <v>15</v>
      </c>
      <c r="D10" s="3" t="s">
        <v>16</v>
      </c>
    </row>
    <row r="11" customFormat="false" ht="15" hidden="false" customHeight="false" outlineLevel="0" collapsed="false">
      <c r="A11" s="5" t="s">
        <v>17</v>
      </c>
      <c r="B11" s="8" t="n">
        <v>30</v>
      </c>
      <c r="C11" s="3" t="s">
        <v>18</v>
      </c>
      <c r="D11" s="2"/>
    </row>
    <row r="12" customFormat="false" ht="15" hidden="false" customHeight="false" outlineLevel="0" collapsed="false">
      <c r="A12" s="5" t="s">
        <v>19</v>
      </c>
      <c r="B12" s="8" t="n">
        <v>2</v>
      </c>
      <c r="C12" s="3" t="s">
        <v>10</v>
      </c>
      <c r="D12" s="2"/>
    </row>
    <row r="13" customFormat="false" ht="15" hidden="false" customHeight="false" outlineLevel="0" collapsed="false">
      <c r="A13" s="5" t="s">
        <v>20</v>
      </c>
      <c r="B13" s="8" t="n">
        <v>1</v>
      </c>
      <c r="C13" s="3" t="s">
        <v>21</v>
      </c>
      <c r="D13" s="2"/>
    </row>
    <row r="14" customFormat="false" ht="15" hidden="false" customHeight="false" outlineLevel="0" collapsed="false">
      <c r="A14" s="5" t="s">
        <v>22</v>
      </c>
      <c r="B14" s="7" t="n">
        <v>0.03</v>
      </c>
      <c r="C14" s="3" t="s">
        <v>23</v>
      </c>
      <c r="D14" s="3" t="s">
        <v>24</v>
      </c>
    </row>
    <row r="15" customFormat="false" ht="15" hidden="false" customHeight="false" outlineLevel="0" collapsed="false">
      <c r="A15" s="5" t="s">
        <v>25</v>
      </c>
      <c r="B15" s="8" t="n">
        <v>0</v>
      </c>
      <c r="C15" s="3" t="s">
        <v>26</v>
      </c>
      <c r="D15" s="3" t="s">
        <v>27</v>
      </c>
    </row>
    <row r="16" customFormat="false" ht="15" hidden="false" customHeight="false" outlineLevel="0" collapsed="false">
      <c r="A16" s="5" t="s">
        <v>28</v>
      </c>
      <c r="B16" s="7" t="n">
        <v>0.15</v>
      </c>
      <c r="C16" s="3" t="s">
        <v>7</v>
      </c>
      <c r="D16" s="2"/>
    </row>
    <row r="17" customFormat="false" ht="15" hidden="false" customHeight="false" outlineLevel="0" collapsed="false">
      <c r="A17" s="5" t="s">
        <v>29</v>
      </c>
      <c r="B17" s="7" t="n">
        <v>0.075</v>
      </c>
      <c r="C17" s="3" t="s">
        <v>7</v>
      </c>
      <c r="D17" s="3" t="s">
        <v>30</v>
      </c>
    </row>
    <row r="18" customFormat="false" ht="15" hidden="false" customHeight="false" outlineLevel="0" collapsed="false">
      <c r="A18" s="4" t="s">
        <v>31</v>
      </c>
      <c r="B18" s="2"/>
      <c r="C18" s="2"/>
      <c r="D18" s="2"/>
    </row>
    <row r="19" customFormat="false" ht="15" hidden="false" customHeight="false" outlineLevel="0" collapsed="false">
      <c r="A19" s="5" t="s">
        <v>32</v>
      </c>
      <c r="B19" s="8" t="n">
        <v>100000</v>
      </c>
      <c r="C19" s="3" t="s">
        <v>33</v>
      </c>
      <c r="D19" s="3" t="s">
        <v>34</v>
      </c>
    </row>
    <row r="20" customFormat="false" ht="15" hidden="false" customHeight="false" outlineLevel="0" collapsed="false">
      <c r="A20" s="5" t="s">
        <v>35</v>
      </c>
      <c r="B20" s="8" t="n">
        <v>0</v>
      </c>
      <c r="C20" s="3" t="s">
        <v>18</v>
      </c>
      <c r="D20" s="2"/>
    </row>
    <row r="21" customFormat="false" ht="15" hidden="false" customHeight="false" outlineLevel="0" collapsed="false">
      <c r="A21" s="5" t="s">
        <v>36</v>
      </c>
      <c r="B21" s="7" t="n">
        <v>0.07</v>
      </c>
      <c r="C21" s="3" t="s">
        <v>7</v>
      </c>
      <c r="D21" s="2"/>
    </row>
    <row r="22" customFormat="false" ht="15" hidden="false" customHeight="false" outlineLevel="0" collapsed="false">
      <c r="A22" s="4" t="s">
        <v>37</v>
      </c>
      <c r="B22" s="2"/>
      <c r="C22" s="2"/>
      <c r="D22" s="2"/>
    </row>
    <row r="23" customFormat="false" ht="15" hidden="false" customHeight="false" outlineLevel="0" collapsed="false">
      <c r="A23" s="5" t="s">
        <v>38</v>
      </c>
      <c r="B23" s="9" t="n">
        <v>0.5</v>
      </c>
      <c r="C23" s="3" t="s">
        <v>4</v>
      </c>
      <c r="D23" s="3" t="s">
        <v>39</v>
      </c>
    </row>
    <row r="24" customFormat="false" ht="15" hidden="false" customHeight="false" outlineLevel="0" collapsed="false">
      <c r="A24" s="5" t="s">
        <v>40</v>
      </c>
      <c r="B24" s="8" t="n">
        <v>3</v>
      </c>
      <c r="C24" s="3" t="s">
        <v>41</v>
      </c>
      <c r="D24" s="3" t="s">
        <v>42</v>
      </c>
    </row>
    <row r="25" customFormat="false" ht="15" hidden="false" customHeight="false" outlineLevel="0" collapsed="false">
      <c r="A25" s="5" t="s">
        <v>43</v>
      </c>
      <c r="B25" s="8" t="n">
        <v>0</v>
      </c>
      <c r="C25" s="3" t="s">
        <v>33</v>
      </c>
      <c r="D25" s="3" t="s">
        <v>44</v>
      </c>
    </row>
    <row r="26" customFormat="false" ht="15" hidden="false" customHeight="false" outlineLevel="0" collapsed="false">
      <c r="A26" s="5" t="s">
        <v>45</v>
      </c>
      <c r="B26" s="6" t="n">
        <v>7</v>
      </c>
      <c r="C26" s="3" t="s">
        <v>4</v>
      </c>
      <c r="D26" s="3" t="s">
        <v>46</v>
      </c>
    </row>
    <row r="27" customFormat="false" ht="15" hidden="false" customHeight="false" outlineLevel="0" collapsed="false">
      <c r="A27" s="4" t="s">
        <v>47</v>
      </c>
      <c r="B27" s="2"/>
      <c r="C27" s="2"/>
      <c r="D27" s="2"/>
    </row>
    <row r="28" customFormat="false" ht="15" hidden="false" customHeight="false" outlineLevel="0" collapsed="false">
      <c r="A28" s="5" t="s">
        <v>48</v>
      </c>
      <c r="B28" s="7" t="n">
        <v>0.5</v>
      </c>
      <c r="C28" s="3" t="s">
        <v>7</v>
      </c>
      <c r="D28" s="3" t="s">
        <v>49</v>
      </c>
    </row>
    <row r="29" customFormat="false" ht="15" hidden="false" customHeight="false" outlineLevel="0" collapsed="false">
      <c r="A29" s="5" t="s">
        <v>50</v>
      </c>
      <c r="B29" s="7" t="n">
        <v>0.09</v>
      </c>
      <c r="C29" s="3" t="s">
        <v>7</v>
      </c>
      <c r="D29" s="2"/>
    </row>
    <row r="30" customFormat="false" ht="15" hidden="false" customHeight="false" outlineLevel="0" collapsed="false">
      <c r="A30" s="5" t="s">
        <v>51</v>
      </c>
      <c r="B30" s="7" t="n">
        <v>0.015</v>
      </c>
      <c r="C30" s="3" t="s">
        <v>52</v>
      </c>
      <c r="D30" s="2"/>
    </row>
    <row r="31" customFormat="false" ht="15" hidden="false" customHeight="false" outlineLevel="0" collapsed="false">
      <c r="A31" s="2"/>
      <c r="B31" s="2"/>
      <c r="C31" s="2"/>
      <c r="D31" s="2"/>
    </row>
    <row r="32" customFormat="false" ht="15" hidden="false" customHeight="false" outlineLevel="0" collapsed="false">
      <c r="A32" s="4" t="s">
        <v>53</v>
      </c>
      <c r="B32" s="2"/>
      <c r="C32" s="2"/>
      <c r="D32" s="2"/>
    </row>
    <row r="33" customFormat="false" ht="15" hidden="false" customHeight="false" outlineLevel="0" collapsed="false">
      <c r="A33" s="5" t="s">
        <v>54</v>
      </c>
      <c r="B33" s="10" t="n">
        <f aca="false">Inputs!$B$10*Inputs!$B$11</f>
        <v>1804260</v>
      </c>
      <c r="C33" s="2"/>
      <c r="D33" s="2"/>
    </row>
    <row r="34" customFormat="false" ht="15" hidden="false" customHeight="false" outlineLevel="0" collapsed="false">
      <c r="A34" s="5" t="s">
        <v>55</v>
      </c>
      <c r="B34" s="10" t="n">
        <f aca="false">Inputs!$B$10*Inputs!$B$15</f>
        <v>0</v>
      </c>
      <c r="C34" s="2"/>
      <c r="D34" s="2"/>
    </row>
    <row r="35" customFormat="false" ht="15" hidden="false" customHeight="false" outlineLevel="0" collapsed="false">
      <c r="A35" s="5" t="s">
        <v>56</v>
      </c>
      <c r="B35" s="10" t="n">
        <f aca="false">B34*Inputs!$B$16</f>
        <v>0</v>
      </c>
      <c r="C35" s="2"/>
      <c r="D35" s="2"/>
    </row>
    <row r="36" customFormat="false" ht="15" hidden="false" customHeight="false" outlineLevel="0" collapsed="false">
      <c r="A36" s="5" t="s">
        <v>57</v>
      </c>
      <c r="B36" s="10" t="n">
        <f aca="false">B33*Inputs!$B$13</f>
        <v>1804260</v>
      </c>
      <c r="C36" s="2"/>
      <c r="D36" s="2"/>
    </row>
    <row r="37" customFormat="false" ht="15" hidden="false" customHeight="false" outlineLevel="0" collapsed="false">
      <c r="A37" s="5" t="s">
        <v>58</v>
      </c>
      <c r="B37" s="10" t="n">
        <f aca="false">B33*Inputs!$B$12</f>
        <v>3608520</v>
      </c>
      <c r="C37" s="2"/>
      <c r="D37" s="2"/>
    </row>
    <row r="38" customFormat="false" ht="15" hidden="false" customHeight="false" outlineLevel="0" collapsed="false">
      <c r="A38" s="5" t="s">
        <v>59</v>
      </c>
      <c r="B38" s="10" t="n">
        <f aca="false">Inputs!$B$5*1000000</f>
        <v>18000000</v>
      </c>
      <c r="C38" s="2"/>
      <c r="D38" s="2"/>
    </row>
    <row r="39" customFormat="false" ht="15" hidden="false" customHeight="false" outlineLevel="0" collapsed="false">
      <c r="A39" s="5" t="s">
        <v>60</v>
      </c>
      <c r="B39" s="10" t="n">
        <f aca="false">Inputs!$B$26*1000000</f>
        <v>7000000</v>
      </c>
      <c r="C39" s="2"/>
      <c r="D39" s="2"/>
    </row>
    <row r="40" customFormat="false" ht="15" hidden="false" customHeight="false" outlineLevel="0" collapsed="false">
      <c r="A40" s="5" t="s">
        <v>61</v>
      </c>
      <c r="B40" s="10" t="n">
        <f aca="false">Inputs!$B$23*1000000</f>
        <v>500000</v>
      </c>
      <c r="C40" s="2"/>
      <c r="D40" s="2"/>
    </row>
    <row r="41" customFormat="false" ht="15" hidden="false" customHeight="false" outlineLevel="0" collapsed="false">
      <c r="A41" s="5" t="s">
        <v>62</v>
      </c>
      <c r="B41" s="10" t="n">
        <f aca="false">B33*(1+Inputs!$B$14)^(5*INT((Inputs!$B$7-1)/5))</f>
        <v>1804260</v>
      </c>
      <c r="C41" s="2"/>
      <c r="D41" s="2"/>
    </row>
    <row r="42" customFormat="false" ht="15" hidden="false" customHeight="false" outlineLevel="0" collapsed="false">
      <c r="A42" s="5" t="s">
        <v>63</v>
      </c>
      <c r="B42" s="11" t="n">
        <f aca="false">MAX(0,Inputs!$B$12-Inputs!$B$7)</f>
        <v>0</v>
      </c>
      <c r="C42" s="2"/>
      <c r="D42" s="2"/>
    </row>
    <row r="43" customFormat="false" ht="15" hidden="false" customHeight="false" outlineLevel="0" collapsed="false">
      <c r="A43" s="5" t="s">
        <v>64</v>
      </c>
      <c r="B43" s="10" t="n">
        <f aca="false">B41/Inputs!$B$17/(1+Inputs!$B$6)-B42*B41</f>
        <v>22525093.6329588</v>
      </c>
      <c r="C43" s="2"/>
      <c r="D43" s="2"/>
    </row>
    <row r="44" customFormat="false" ht="15" hidden="false" customHeight="false" outlineLevel="0" collapsed="false">
      <c r="A44" s="5" t="s">
        <v>65</v>
      </c>
      <c r="B44" s="10" t="n">
        <f aca="false">Inputs!$B$19/Inputs!$B$21/(1+Inputs!$B$6)</f>
        <v>1337613.69716426</v>
      </c>
      <c r="C44" s="2"/>
      <c r="D44" s="2"/>
    </row>
    <row r="45" customFormat="false" ht="15" hidden="false" customHeight="false" outlineLevel="0" collapsed="false">
      <c r="A45" s="5" t="s">
        <v>66</v>
      </c>
      <c r="B45" s="10" t="n">
        <f aca="false">B33/Inputs!$B$17/(1+Inputs!$B$6)+B44+B40+B39</f>
        <v>31362707.3301231</v>
      </c>
      <c r="C45" s="2"/>
      <c r="D45" s="2"/>
    </row>
    <row r="46" customFormat="false" ht="15" hidden="false" customHeight="false" outlineLevel="0" collapsed="false">
      <c r="A46" s="5" t="s">
        <v>67</v>
      </c>
      <c r="B46" s="10" t="n">
        <f aca="false">B38*(1+Inputs!$B$6)+B36+Inputs!$B$20</f>
        <v>21028260</v>
      </c>
      <c r="C46" s="2"/>
      <c r="D46" s="2"/>
    </row>
    <row r="47" customFormat="false" ht="15" hidden="false" customHeight="false" outlineLevel="0" collapsed="false">
      <c r="A47" s="5" t="s">
        <v>68</v>
      </c>
      <c r="B47" s="10" t="n">
        <f aca="false">MIN(Inputs!$B$28*B45,B46)</f>
        <v>15681353.6650615</v>
      </c>
      <c r="C47" s="2"/>
      <c r="D4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20" min="3" style="0" width="16"/>
  </cols>
  <sheetData>
    <row r="1" customFormat="false" ht="17.35" hidden="false" customHeight="false" outlineLevel="0" collapsed="false">
      <c r="A1" s="1" t="s">
        <v>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5" hidden="false" customHeight="false" outlineLevel="0" collapsed="false">
      <c r="A2" s="3" t="s">
        <v>70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customFormat="false" ht="42" hidden="false" customHeight="true" outlineLevel="0" collapsed="false">
      <c r="A4" s="12" t="s">
        <v>71</v>
      </c>
      <c r="B4" s="12" t="s">
        <v>72</v>
      </c>
      <c r="C4" s="12" t="s">
        <v>73</v>
      </c>
      <c r="D4" s="12" t="s">
        <v>74</v>
      </c>
      <c r="E4" s="12" t="s">
        <v>75</v>
      </c>
      <c r="F4" s="12" t="s">
        <v>76</v>
      </c>
      <c r="G4" s="12" t="s">
        <v>77</v>
      </c>
      <c r="H4" s="12" t="s">
        <v>78</v>
      </c>
      <c r="I4" s="12" t="s">
        <v>79</v>
      </c>
      <c r="J4" s="12" t="s">
        <v>80</v>
      </c>
      <c r="K4" s="12" t="s">
        <v>81</v>
      </c>
      <c r="L4" s="12" t="s">
        <v>82</v>
      </c>
      <c r="M4" s="12" t="s">
        <v>83</v>
      </c>
      <c r="N4" s="12" t="s">
        <v>84</v>
      </c>
      <c r="O4" s="12" t="s">
        <v>85</v>
      </c>
      <c r="P4" s="12" t="s">
        <v>86</v>
      </c>
      <c r="Q4" s="12" t="s">
        <v>87</v>
      </c>
      <c r="R4" s="12" t="s">
        <v>88</v>
      </c>
      <c r="S4" s="12" t="s">
        <v>89</v>
      </c>
      <c r="T4" s="12" t="s">
        <v>90</v>
      </c>
    </row>
    <row r="5" customFormat="false" ht="15" hidden="false" customHeight="false" outlineLevel="0" collapsed="false">
      <c r="A5" s="5" t="n">
        <v>0</v>
      </c>
      <c r="B5" s="5" t="str">
        <f aca="false">IF(A5=0,"Completion",TEXT(2026+A5,"0")&amp;IF(A5=Inputs!$B$7," and exit",""))</f>
        <v>Completion</v>
      </c>
      <c r="C5" s="5" t="n">
        <f aca="false">IF(A5&lt;=Inputs!$B$7,1,0)</f>
        <v>1</v>
      </c>
      <c r="D5" s="10" t="n">
        <f aca="false">C5*IF(A5=0,0,Inputs!$B$19)</f>
        <v>0</v>
      </c>
      <c r="E5" s="10" t="n">
        <f aca="false">C5*IF(A5&lt;1,0,IF(A5&lt;=Inputs!$B$12,0,IF(A5-1&lt;Inputs!$B$12,A5-Inputs!$B$12,1)*Inputs!$B$33*(1+Inputs!$B$14)^(5*INT((A5-1)/5))))</f>
        <v>0</v>
      </c>
      <c r="F5" s="10" t="n">
        <f aca="false">C5*(IF(A5=0,IF(Inputs!$B$24=0,Inputs!$B$39,0),0)+IF(AND(Inputs!$B$24&gt;0,A5=Inputs!$B$24),Inputs!$B$39,0))</f>
        <v>0</v>
      </c>
      <c r="G5" s="10" t="n">
        <f aca="false">-C5*(IF(A5=0,Inputs!$B$38*(1+Inputs!$B$6)+Inputs!$B$36+Inputs!$B$20,0)+IF(A5=1,Inputs!$B$34+Inputs!$B$35,0))</f>
        <v>-21028260</v>
      </c>
      <c r="H5" s="10" t="n">
        <f aca="false">-C5*IF(AND(Inputs!$B$24&gt;0,A5&gt;=1,A5&lt;=Inputs!$B$24),Inputs!$B$25,0)</f>
        <v>-0</v>
      </c>
      <c r="I5" s="10" t="n">
        <f aca="false">IF(A5=Inputs!$B$7,Inputs!$B$43+Inputs!$B$44+Inputs!$B$40,0)</f>
        <v>0</v>
      </c>
      <c r="J5" s="10" t="n">
        <f aca="false">SUM(D5:I5)</f>
        <v>-21028260</v>
      </c>
      <c r="K5" s="10" t="n">
        <f aca="false">-G5-F5</f>
        <v>21028260</v>
      </c>
      <c r="L5" s="10" t="n">
        <f aca="false">IF(A5=0,Inputs!$B$47,0)</f>
        <v>15681353.6650615</v>
      </c>
      <c r="M5" s="10" t="n">
        <f aca="false">0</f>
        <v>0</v>
      </c>
      <c r="N5" s="10" t="n">
        <f aca="false">M5*Inputs!$B$29</f>
        <v>0</v>
      </c>
      <c r="O5" s="10" t="n">
        <f aca="false">L5*Inputs!$B$30</f>
        <v>235220.304975923</v>
      </c>
      <c r="P5" s="10" t="n">
        <f aca="false">IF(K5&lt;0,MIN(M5+L5,-K5),0)+IF(A5=Inputs!$B$7,M5+L5-IF(K5&lt;0,MIN(M5+L5,-K5),0),0)</f>
        <v>0</v>
      </c>
      <c r="Q5" s="10" t="n">
        <f aca="false">M5+L5-P5</f>
        <v>15681353.6650615</v>
      </c>
      <c r="R5" s="10" t="n">
        <f aca="false">L5-N5-P5-O5</f>
        <v>15446133.3600856</v>
      </c>
      <c r="S5" s="10" t="n">
        <f aca="false">J5+R5</f>
        <v>-5582126.63991439</v>
      </c>
      <c r="T5" s="10" t="n">
        <f aca="false">S5</f>
        <v>-5582126.63991439</v>
      </c>
    </row>
    <row r="6" customFormat="false" ht="15" hidden="false" customHeight="false" outlineLevel="0" collapsed="false">
      <c r="A6" s="5" t="n">
        <v>1</v>
      </c>
      <c r="B6" s="5" t="str">
        <f aca="false">IF(A6=0,"Completion",TEXT(2026+A6,"0")&amp;IF(A6=Inputs!$B$7," and exit",""))</f>
        <v>2027</v>
      </c>
      <c r="C6" s="5" t="n">
        <f aca="false">IF(A6&lt;=Inputs!$B$7,1,0)</f>
        <v>1</v>
      </c>
      <c r="D6" s="10" t="n">
        <f aca="false">C6*IF(A6=0,0,Inputs!$B$19)</f>
        <v>100000</v>
      </c>
      <c r="E6" s="10" t="n">
        <f aca="false">C6*IF(A6&lt;1,0,IF(A6&lt;=Inputs!$B$12,0,IF(A6-1&lt;Inputs!$B$12,A6-Inputs!$B$12,1)*Inputs!$B$33*(1+Inputs!$B$14)^(5*INT((A6-1)/5))))</f>
        <v>0</v>
      </c>
      <c r="F6" s="10" t="n">
        <f aca="false">C6*(IF(A6=0,IF(Inputs!$B$24=0,Inputs!$B$39,0),0)+IF(AND(Inputs!$B$24&gt;0,A6=Inputs!$B$24),Inputs!$B$39,0))</f>
        <v>0</v>
      </c>
      <c r="G6" s="10" t="n">
        <f aca="false">-C6*(IF(A6=0,Inputs!$B$38*(1+Inputs!$B$6)+Inputs!$B$36+Inputs!$B$20,0)+IF(A6=1,Inputs!$B$34+Inputs!$B$35,0))</f>
        <v>-0</v>
      </c>
      <c r="H6" s="10" t="n">
        <f aca="false">-C6*IF(AND(Inputs!$B$24&gt;0,A6&gt;=1,A6&lt;=Inputs!$B$24),Inputs!$B$25,0)</f>
        <v>-0</v>
      </c>
      <c r="I6" s="10" t="n">
        <f aca="false">IF(A6=Inputs!$B$7,Inputs!$B$43+Inputs!$B$44+Inputs!$B$40,0)</f>
        <v>0</v>
      </c>
      <c r="J6" s="10" t="n">
        <f aca="false">SUM(D6:I6)</f>
        <v>100000</v>
      </c>
      <c r="K6" s="10" t="n">
        <f aca="false">-G6-F6</f>
        <v>0</v>
      </c>
      <c r="L6" s="10" t="n">
        <f aca="false">IF(A6=0,Inputs!$B$47,0)</f>
        <v>0</v>
      </c>
      <c r="M6" s="10" t="n">
        <f aca="false">Q5</f>
        <v>15681353.6650615</v>
      </c>
      <c r="N6" s="10" t="n">
        <f aca="false">M6*Inputs!$B$29</f>
        <v>1411321.82985554</v>
      </c>
      <c r="O6" s="10" t="n">
        <f aca="false">L6*Inputs!$B$30</f>
        <v>0</v>
      </c>
      <c r="P6" s="10" t="n">
        <f aca="false">IF(K6&lt;0,MIN(M6+L6,-K6),0)+IF(A6=Inputs!$B$7,M6+L6-IF(K6&lt;0,MIN(M6+L6,-K6),0),0)</f>
        <v>0</v>
      </c>
      <c r="Q6" s="10" t="n">
        <f aca="false">M6+L6-P6</f>
        <v>15681353.6650615</v>
      </c>
      <c r="R6" s="10" t="n">
        <f aca="false">L6-N6-P6-O6</f>
        <v>-1411321.82985554</v>
      </c>
      <c r="S6" s="10" t="n">
        <f aca="false">J6+R6</f>
        <v>-1311321.82985554</v>
      </c>
      <c r="T6" s="10" t="n">
        <f aca="false">T5+S6</f>
        <v>-6893448.46976993</v>
      </c>
    </row>
    <row r="7" customFormat="false" ht="15" hidden="false" customHeight="false" outlineLevel="0" collapsed="false">
      <c r="A7" s="5" t="n">
        <v>2</v>
      </c>
      <c r="B7" s="5" t="str">
        <f aca="false">IF(A7=0,"Completion",TEXT(2026+A7,"0")&amp;IF(A7=Inputs!$B$7," and exit",""))</f>
        <v>2028</v>
      </c>
      <c r="C7" s="5" t="n">
        <f aca="false">IF(A7&lt;=Inputs!$B$7,1,0)</f>
        <v>1</v>
      </c>
      <c r="D7" s="10" t="n">
        <f aca="false">C7*IF(A7=0,0,Inputs!$B$19)</f>
        <v>100000</v>
      </c>
      <c r="E7" s="10" t="n">
        <f aca="false">C7*IF(A7&lt;1,0,IF(A7&lt;=Inputs!$B$12,0,IF(A7-1&lt;Inputs!$B$12,A7-Inputs!$B$12,1)*Inputs!$B$33*(1+Inputs!$B$14)^(5*INT((A7-1)/5))))</f>
        <v>0</v>
      </c>
      <c r="F7" s="10" t="n">
        <f aca="false">C7*(IF(A7=0,IF(Inputs!$B$24=0,Inputs!$B$39,0),0)+IF(AND(Inputs!$B$24&gt;0,A7=Inputs!$B$24),Inputs!$B$39,0))</f>
        <v>0</v>
      </c>
      <c r="G7" s="10" t="n">
        <f aca="false">-C7*(IF(A7=0,Inputs!$B$38*(1+Inputs!$B$6)+Inputs!$B$36+Inputs!$B$20,0)+IF(A7=1,Inputs!$B$34+Inputs!$B$35,0))</f>
        <v>-0</v>
      </c>
      <c r="H7" s="10" t="n">
        <f aca="false">-C7*IF(AND(Inputs!$B$24&gt;0,A7&gt;=1,A7&lt;=Inputs!$B$24),Inputs!$B$25,0)</f>
        <v>-0</v>
      </c>
      <c r="I7" s="10" t="n">
        <f aca="false">IF(A7=Inputs!$B$7,Inputs!$B$43+Inputs!$B$44+Inputs!$B$40,0)</f>
        <v>0</v>
      </c>
      <c r="J7" s="10" t="n">
        <f aca="false">SUM(D7:I7)</f>
        <v>100000</v>
      </c>
      <c r="K7" s="10" t="n">
        <f aca="false">-G7-F7</f>
        <v>0</v>
      </c>
      <c r="L7" s="10" t="n">
        <f aca="false">IF(A7=0,Inputs!$B$47,0)</f>
        <v>0</v>
      </c>
      <c r="M7" s="10" t="n">
        <f aca="false">Q6</f>
        <v>15681353.6650615</v>
      </c>
      <c r="N7" s="10" t="n">
        <f aca="false">M7*Inputs!$B$29</f>
        <v>1411321.82985554</v>
      </c>
      <c r="O7" s="10" t="n">
        <f aca="false">L7*Inputs!$B$30</f>
        <v>0</v>
      </c>
      <c r="P7" s="10" t="n">
        <f aca="false">IF(K7&lt;0,MIN(M7+L7,-K7),0)+IF(A7=Inputs!$B$7,M7+L7-IF(K7&lt;0,MIN(M7+L7,-K7),0),0)</f>
        <v>0</v>
      </c>
      <c r="Q7" s="10" t="n">
        <f aca="false">M7+L7-P7</f>
        <v>15681353.6650615</v>
      </c>
      <c r="R7" s="10" t="n">
        <f aca="false">L7-N7-P7-O7</f>
        <v>-1411321.82985554</v>
      </c>
      <c r="S7" s="10" t="n">
        <f aca="false">J7+R7</f>
        <v>-1311321.82985554</v>
      </c>
      <c r="T7" s="10" t="n">
        <f aca="false">T6+S7</f>
        <v>-8204770.29962547</v>
      </c>
    </row>
    <row r="8" customFormat="false" ht="15" hidden="false" customHeight="false" outlineLevel="0" collapsed="false">
      <c r="A8" s="5" t="n">
        <v>3</v>
      </c>
      <c r="B8" s="5" t="str">
        <f aca="false">IF(A8=0,"Completion",TEXT(2026+A8,"0")&amp;IF(A8=Inputs!$B$7," and exit",""))</f>
        <v>2029 and exit</v>
      </c>
      <c r="C8" s="5" t="n">
        <f aca="false">IF(A8&lt;=Inputs!$B$7,1,0)</f>
        <v>1</v>
      </c>
      <c r="D8" s="10" t="n">
        <f aca="false">C8*IF(A8=0,0,Inputs!$B$19)</f>
        <v>100000</v>
      </c>
      <c r="E8" s="10" t="n">
        <f aca="false">C8*IF(A8&lt;1,0,IF(A8&lt;=Inputs!$B$12,0,IF(A8-1&lt;Inputs!$B$12,A8-Inputs!$B$12,1)*Inputs!$B$33*(1+Inputs!$B$14)^(5*INT((A8-1)/5))))</f>
        <v>1804260</v>
      </c>
      <c r="F8" s="10" t="n">
        <f aca="false">C8*(IF(A8=0,IF(Inputs!$B$24=0,Inputs!$B$39,0),0)+IF(AND(Inputs!$B$24&gt;0,A8=Inputs!$B$24),Inputs!$B$39,0))</f>
        <v>7000000</v>
      </c>
      <c r="G8" s="10" t="n">
        <f aca="false">-C8*(IF(A8=0,Inputs!$B$38*(1+Inputs!$B$6)+Inputs!$B$36+Inputs!$B$20,0)+IF(A8=1,Inputs!$B$34+Inputs!$B$35,0))</f>
        <v>-0</v>
      </c>
      <c r="H8" s="10" t="n">
        <f aca="false">-C8*IF(AND(Inputs!$B$24&gt;0,A8&gt;=1,A8&lt;=Inputs!$B$24),Inputs!$B$25,0)</f>
        <v>-0</v>
      </c>
      <c r="I8" s="10" t="n">
        <f aca="false">IF(A8=Inputs!$B$7,Inputs!$B$43+Inputs!$B$44+Inputs!$B$40,0)</f>
        <v>24362707.3301231</v>
      </c>
      <c r="J8" s="10" t="n">
        <f aca="false">SUM(D8:I8)</f>
        <v>33266967.3301231</v>
      </c>
      <c r="K8" s="10" t="n">
        <f aca="false">-G8-F8</f>
        <v>-7000000</v>
      </c>
      <c r="L8" s="10" t="n">
        <f aca="false">IF(A8=0,Inputs!$B$47,0)</f>
        <v>0</v>
      </c>
      <c r="M8" s="10" t="n">
        <f aca="false">Q7</f>
        <v>15681353.6650615</v>
      </c>
      <c r="N8" s="10" t="n">
        <f aca="false">M8*Inputs!$B$29</f>
        <v>1411321.82985554</v>
      </c>
      <c r="O8" s="10" t="n">
        <f aca="false">L8*Inputs!$B$30</f>
        <v>0</v>
      </c>
      <c r="P8" s="10" t="n">
        <f aca="false">IF(K8&lt;0,MIN(M8+L8,-K8),0)+IF(A8=Inputs!$B$7,M8+L8-IF(K8&lt;0,MIN(M8+L8,-K8),0),0)</f>
        <v>15681353.6650615</v>
      </c>
      <c r="Q8" s="10" t="n">
        <f aca="false">M8+L8-P8</f>
        <v>0</v>
      </c>
      <c r="R8" s="10" t="n">
        <f aca="false">L8-N8-P8-O8</f>
        <v>-17092675.4949171</v>
      </c>
      <c r="S8" s="10" t="n">
        <f aca="false">J8+R8</f>
        <v>16174291.835206</v>
      </c>
      <c r="T8" s="10" t="n">
        <f aca="false">T7+S8</f>
        <v>7969521.53558052</v>
      </c>
    </row>
    <row r="9" customFormat="false" ht="15" hidden="false" customHeight="false" outlineLevel="0" collapsed="false">
      <c r="A9" s="5" t="n">
        <v>4</v>
      </c>
      <c r="B9" s="5" t="str">
        <f aca="false">IF(A9=0,"Completion",TEXT(2026+A9,"0")&amp;IF(A9=Inputs!$B$7," and exit",""))</f>
        <v>2030</v>
      </c>
      <c r="C9" s="5" t="n">
        <f aca="false">IF(A9&lt;=Inputs!$B$7,1,0)</f>
        <v>0</v>
      </c>
      <c r="D9" s="10" t="n">
        <f aca="false">C9*IF(A9=0,0,Inputs!$B$19)</f>
        <v>0</v>
      </c>
      <c r="E9" s="10" t="n">
        <f aca="false">C9*IF(A9&lt;1,0,IF(A9&lt;=Inputs!$B$12,0,IF(A9-1&lt;Inputs!$B$12,A9-Inputs!$B$12,1)*Inputs!$B$33*(1+Inputs!$B$14)^(5*INT((A9-1)/5))))</f>
        <v>0</v>
      </c>
      <c r="F9" s="10" t="n">
        <f aca="false">C9*(IF(A9=0,IF(Inputs!$B$24=0,Inputs!$B$39,0),0)+IF(AND(Inputs!$B$24&gt;0,A9=Inputs!$B$24),Inputs!$B$39,0))</f>
        <v>0</v>
      </c>
      <c r="G9" s="10" t="n">
        <f aca="false">-C9*(IF(A9=0,Inputs!$B$38*(1+Inputs!$B$6)+Inputs!$B$36+Inputs!$B$20,0)+IF(A9=1,Inputs!$B$34+Inputs!$B$35,0))</f>
        <v>-0</v>
      </c>
      <c r="H9" s="10" t="n">
        <f aca="false">-C9*IF(AND(Inputs!$B$24&gt;0,A9&gt;=1,A9&lt;=Inputs!$B$24),Inputs!$B$25,0)</f>
        <v>-0</v>
      </c>
      <c r="I9" s="10" t="n">
        <f aca="false">IF(A9=Inputs!$B$7,Inputs!$B$43+Inputs!$B$44+Inputs!$B$40,0)</f>
        <v>0</v>
      </c>
      <c r="J9" s="10" t="n">
        <f aca="false">SUM(D9:I9)</f>
        <v>0</v>
      </c>
      <c r="K9" s="10" t="n">
        <f aca="false">-G9-F9</f>
        <v>0</v>
      </c>
      <c r="L9" s="10" t="n">
        <f aca="false">IF(A9=0,Inputs!$B$47,0)</f>
        <v>0</v>
      </c>
      <c r="M9" s="10" t="n">
        <f aca="false">Q8</f>
        <v>0</v>
      </c>
      <c r="N9" s="10" t="n">
        <f aca="false">M9*Inputs!$B$29</f>
        <v>0</v>
      </c>
      <c r="O9" s="10" t="n">
        <f aca="false">L9*Inputs!$B$30</f>
        <v>0</v>
      </c>
      <c r="P9" s="10" t="n">
        <f aca="false">IF(K9&lt;0,MIN(M9+L9,-K9),0)+IF(A9=Inputs!$B$7,M9+L9-IF(K9&lt;0,MIN(M9+L9,-K9),0),0)</f>
        <v>0</v>
      </c>
      <c r="Q9" s="10" t="n">
        <f aca="false">M9+L9-P9</f>
        <v>0</v>
      </c>
      <c r="R9" s="10" t="n">
        <f aca="false">L9-N9-P9-O9</f>
        <v>0</v>
      </c>
      <c r="S9" s="10" t="n">
        <f aca="false">J9+R9</f>
        <v>0</v>
      </c>
      <c r="T9" s="10" t="n">
        <f aca="false">T8+S9</f>
        <v>7969521.53558052</v>
      </c>
    </row>
    <row r="10" customFormat="false" ht="15" hidden="false" customHeight="false" outlineLevel="0" collapsed="false">
      <c r="A10" s="5" t="n">
        <v>5</v>
      </c>
      <c r="B10" s="5" t="str">
        <f aca="false">IF(A10=0,"Completion",TEXT(2026+A10,"0")&amp;IF(A10=Inputs!$B$7," and exit",""))</f>
        <v>2031</v>
      </c>
      <c r="C10" s="5" t="n">
        <f aca="false">IF(A10&lt;=Inputs!$B$7,1,0)</f>
        <v>0</v>
      </c>
      <c r="D10" s="10" t="n">
        <f aca="false">C10*IF(A10=0,0,Inputs!$B$19)</f>
        <v>0</v>
      </c>
      <c r="E10" s="10" t="n">
        <f aca="false">C10*IF(A10&lt;1,0,IF(A10&lt;=Inputs!$B$12,0,IF(A10-1&lt;Inputs!$B$12,A10-Inputs!$B$12,1)*Inputs!$B$33*(1+Inputs!$B$14)^(5*INT((A10-1)/5))))</f>
        <v>0</v>
      </c>
      <c r="F10" s="10" t="n">
        <f aca="false">C10*(IF(A10=0,IF(Inputs!$B$24=0,Inputs!$B$39,0),0)+IF(AND(Inputs!$B$24&gt;0,A10=Inputs!$B$24),Inputs!$B$39,0))</f>
        <v>0</v>
      </c>
      <c r="G10" s="10" t="n">
        <f aca="false">-C10*(IF(A10=0,Inputs!$B$38*(1+Inputs!$B$6)+Inputs!$B$36+Inputs!$B$20,0)+IF(A10=1,Inputs!$B$34+Inputs!$B$35,0))</f>
        <v>-0</v>
      </c>
      <c r="H10" s="10" t="n">
        <f aca="false">-C10*IF(AND(Inputs!$B$24&gt;0,A10&gt;=1,A10&lt;=Inputs!$B$24),Inputs!$B$25,0)</f>
        <v>-0</v>
      </c>
      <c r="I10" s="10" t="n">
        <f aca="false">IF(A10=Inputs!$B$7,Inputs!$B$43+Inputs!$B$44+Inputs!$B$40,0)</f>
        <v>0</v>
      </c>
      <c r="J10" s="10" t="n">
        <f aca="false">SUM(D10:I10)</f>
        <v>0</v>
      </c>
      <c r="K10" s="10" t="n">
        <f aca="false">-G10-F10</f>
        <v>0</v>
      </c>
      <c r="L10" s="10" t="n">
        <f aca="false">IF(A10=0,Inputs!$B$47,0)</f>
        <v>0</v>
      </c>
      <c r="M10" s="10" t="n">
        <f aca="false">Q9</f>
        <v>0</v>
      </c>
      <c r="N10" s="10" t="n">
        <f aca="false">M10*Inputs!$B$29</f>
        <v>0</v>
      </c>
      <c r="O10" s="10" t="n">
        <f aca="false">L10*Inputs!$B$30</f>
        <v>0</v>
      </c>
      <c r="P10" s="10" t="n">
        <f aca="false">IF(K10&lt;0,MIN(M10+L10,-K10),0)+IF(A10=Inputs!$B$7,M10+L10-IF(K10&lt;0,MIN(M10+L10,-K10),0),0)</f>
        <v>0</v>
      </c>
      <c r="Q10" s="10" t="n">
        <f aca="false">M10+L10-P10</f>
        <v>0</v>
      </c>
      <c r="R10" s="10" t="n">
        <f aca="false">L10-N10-P10-O10</f>
        <v>0</v>
      </c>
      <c r="S10" s="10" t="n">
        <f aca="false">J10+R10</f>
        <v>0</v>
      </c>
      <c r="T10" s="10" t="n">
        <f aca="false">T9+S10</f>
        <v>7969521.53558052</v>
      </c>
    </row>
    <row r="11" customFormat="false" ht="15" hidden="false" customHeight="false" outlineLevel="0" collapsed="false">
      <c r="A11" s="5" t="n">
        <v>6</v>
      </c>
      <c r="B11" s="5" t="str">
        <f aca="false">IF(A11=0,"Completion",TEXT(2026+A11,"0")&amp;IF(A11=Inputs!$B$7," and exit",""))</f>
        <v>2032</v>
      </c>
      <c r="C11" s="5" t="n">
        <f aca="false">IF(A11&lt;=Inputs!$B$7,1,0)</f>
        <v>0</v>
      </c>
      <c r="D11" s="10" t="n">
        <f aca="false">C11*IF(A11=0,0,Inputs!$B$19)</f>
        <v>0</v>
      </c>
      <c r="E11" s="10" t="n">
        <f aca="false">C11*IF(A11&lt;1,0,IF(A11&lt;=Inputs!$B$12,0,IF(A11-1&lt;Inputs!$B$12,A11-Inputs!$B$12,1)*Inputs!$B$33*(1+Inputs!$B$14)^(5*INT((A11-1)/5))))</f>
        <v>0</v>
      </c>
      <c r="F11" s="10" t="n">
        <f aca="false">C11*(IF(A11=0,IF(Inputs!$B$24=0,Inputs!$B$39,0),0)+IF(AND(Inputs!$B$24&gt;0,A11=Inputs!$B$24),Inputs!$B$39,0))</f>
        <v>0</v>
      </c>
      <c r="G11" s="10" t="n">
        <f aca="false">-C11*(IF(A11=0,Inputs!$B$38*(1+Inputs!$B$6)+Inputs!$B$36+Inputs!$B$20,0)+IF(A11=1,Inputs!$B$34+Inputs!$B$35,0))</f>
        <v>-0</v>
      </c>
      <c r="H11" s="10" t="n">
        <f aca="false">-C11*IF(AND(Inputs!$B$24&gt;0,A11&gt;=1,A11&lt;=Inputs!$B$24),Inputs!$B$25,0)</f>
        <v>-0</v>
      </c>
      <c r="I11" s="10" t="n">
        <f aca="false">IF(A11=Inputs!$B$7,Inputs!$B$43+Inputs!$B$44+Inputs!$B$40,0)</f>
        <v>0</v>
      </c>
      <c r="J11" s="10" t="n">
        <f aca="false">SUM(D11:I11)</f>
        <v>0</v>
      </c>
      <c r="K11" s="10" t="n">
        <f aca="false">-G11-F11</f>
        <v>0</v>
      </c>
      <c r="L11" s="10" t="n">
        <f aca="false">IF(A11=0,Inputs!$B$47,0)</f>
        <v>0</v>
      </c>
      <c r="M11" s="10" t="n">
        <f aca="false">Q10</f>
        <v>0</v>
      </c>
      <c r="N11" s="10" t="n">
        <f aca="false">M11*Inputs!$B$29</f>
        <v>0</v>
      </c>
      <c r="O11" s="10" t="n">
        <f aca="false">L11*Inputs!$B$30</f>
        <v>0</v>
      </c>
      <c r="P11" s="10" t="n">
        <f aca="false">IF(K11&lt;0,MIN(M11+L11,-K11),0)+IF(A11=Inputs!$B$7,M11+L11-IF(K11&lt;0,MIN(M11+L11,-K11),0),0)</f>
        <v>0</v>
      </c>
      <c r="Q11" s="10" t="n">
        <f aca="false">M11+L11-P11</f>
        <v>0</v>
      </c>
      <c r="R11" s="10" t="n">
        <f aca="false">L11-N11-P11-O11</f>
        <v>0</v>
      </c>
      <c r="S11" s="10" t="n">
        <f aca="false">J11+R11</f>
        <v>0</v>
      </c>
      <c r="T11" s="10" t="n">
        <f aca="false">T10+S11</f>
        <v>7969521.53558052</v>
      </c>
    </row>
    <row r="12" customFormat="false" ht="15" hidden="false" customHeight="false" outlineLevel="0" collapsed="false">
      <c r="A12" s="5" t="n">
        <v>7</v>
      </c>
      <c r="B12" s="5" t="str">
        <f aca="false">IF(A12=0,"Completion",TEXT(2026+A12,"0")&amp;IF(A12=Inputs!$B$7," and exit",""))</f>
        <v>2033</v>
      </c>
      <c r="C12" s="5" t="n">
        <f aca="false">IF(A12&lt;=Inputs!$B$7,1,0)</f>
        <v>0</v>
      </c>
      <c r="D12" s="10" t="n">
        <f aca="false">C12*IF(A12=0,0,Inputs!$B$19)</f>
        <v>0</v>
      </c>
      <c r="E12" s="10" t="n">
        <f aca="false">C12*IF(A12&lt;1,0,IF(A12&lt;=Inputs!$B$12,0,IF(A12-1&lt;Inputs!$B$12,A12-Inputs!$B$12,1)*Inputs!$B$33*(1+Inputs!$B$14)^(5*INT((A12-1)/5))))</f>
        <v>0</v>
      </c>
      <c r="F12" s="10" t="n">
        <f aca="false">C12*(IF(A12=0,IF(Inputs!$B$24=0,Inputs!$B$39,0),0)+IF(AND(Inputs!$B$24&gt;0,A12=Inputs!$B$24),Inputs!$B$39,0))</f>
        <v>0</v>
      </c>
      <c r="G12" s="10" t="n">
        <f aca="false">-C12*(IF(A12=0,Inputs!$B$38*(1+Inputs!$B$6)+Inputs!$B$36+Inputs!$B$20,0)+IF(A12=1,Inputs!$B$34+Inputs!$B$35,0))</f>
        <v>-0</v>
      </c>
      <c r="H12" s="10" t="n">
        <f aca="false">-C12*IF(AND(Inputs!$B$24&gt;0,A12&gt;=1,A12&lt;=Inputs!$B$24),Inputs!$B$25,0)</f>
        <v>-0</v>
      </c>
      <c r="I12" s="10" t="n">
        <f aca="false">IF(A12=Inputs!$B$7,Inputs!$B$43+Inputs!$B$44+Inputs!$B$40,0)</f>
        <v>0</v>
      </c>
      <c r="J12" s="10" t="n">
        <f aca="false">SUM(D12:I12)</f>
        <v>0</v>
      </c>
      <c r="K12" s="10" t="n">
        <f aca="false">-G12-F12</f>
        <v>0</v>
      </c>
      <c r="L12" s="10" t="n">
        <f aca="false">IF(A12=0,Inputs!$B$47,0)</f>
        <v>0</v>
      </c>
      <c r="M12" s="10" t="n">
        <f aca="false">Q11</f>
        <v>0</v>
      </c>
      <c r="N12" s="10" t="n">
        <f aca="false">M12*Inputs!$B$29</f>
        <v>0</v>
      </c>
      <c r="O12" s="10" t="n">
        <f aca="false">L12*Inputs!$B$30</f>
        <v>0</v>
      </c>
      <c r="P12" s="10" t="n">
        <f aca="false">IF(K12&lt;0,MIN(M12+L12,-K12),0)+IF(A12=Inputs!$B$7,M12+L12-IF(K12&lt;0,MIN(M12+L12,-K12),0),0)</f>
        <v>0</v>
      </c>
      <c r="Q12" s="10" t="n">
        <f aca="false">M12+L12-P12</f>
        <v>0</v>
      </c>
      <c r="R12" s="10" t="n">
        <f aca="false">L12-N12-P12-O12</f>
        <v>0</v>
      </c>
      <c r="S12" s="10" t="n">
        <f aca="false">J12+R12</f>
        <v>0</v>
      </c>
      <c r="T12" s="10" t="n">
        <f aca="false">T11+S12</f>
        <v>7969521.53558052</v>
      </c>
    </row>
    <row r="13" customFormat="false" ht="15" hidden="false" customHeight="false" outlineLevel="0" collapsed="false">
      <c r="A13" s="5" t="n">
        <v>8</v>
      </c>
      <c r="B13" s="5" t="str">
        <f aca="false">IF(A13=0,"Completion",TEXT(2026+A13,"0")&amp;IF(A13=Inputs!$B$7," and exit",""))</f>
        <v>2034</v>
      </c>
      <c r="C13" s="5" t="n">
        <f aca="false">IF(A13&lt;=Inputs!$B$7,1,0)</f>
        <v>0</v>
      </c>
      <c r="D13" s="10" t="n">
        <f aca="false">C13*IF(A13=0,0,Inputs!$B$19)</f>
        <v>0</v>
      </c>
      <c r="E13" s="10" t="n">
        <f aca="false">C13*IF(A13&lt;1,0,IF(A13&lt;=Inputs!$B$12,0,IF(A13-1&lt;Inputs!$B$12,A13-Inputs!$B$12,1)*Inputs!$B$33*(1+Inputs!$B$14)^(5*INT((A13-1)/5))))</f>
        <v>0</v>
      </c>
      <c r="F13" s="10" t="n">
        <f aca="false">C13*(IF(A13=0,IF(Inputs!$B$24=0,Inputs!$B$39,0),0)+IF(AND(Inputs!$B$24&gt;0,A13=Inputs!$B$24),Inputs!$B$39,0))</f>
        <v>0</v>
      </c>
      <c r="G13" s="10" t="n">
        <f aca="false">-C13*(IF(A13=0,Inputs!$B$38*(1+Inputs!$B$6)+Inputs!$B$36+Inputs!$B$20,0)+IF(A13=1,Inputs!$B$34+Inputs!$B$35,0))</f>
        <v>-0</v>
      </c>
      <c r="H13" s="10" t="n">
        <f aca="false">-C13*IF(AND(Inputs!$B$24&gt;0,A13&gt;=1,A13&lt;=Inputs!$B$24),Inputs!$B$25,0)</f>
        <v>-0</v>
      </c>
      <c r="I13" s="10" t="n">
        <f aca="false">IF(A13=Inputs!$B$7,Inputs!$B$43+Inputs!$B$44+Inputs!$B$40,0)</f>
        <v>0</v>
      </c>
      <c r="J13" s="10" t="n">
        <f aca="false">SUM(D13:I13)</f>
        <v>0</v>
      </c>
      <c r="K13" s="10" t="n">
        <f aca="false">-G13-F13</f>
        <v>0</v>
      </c>
      <c r="L13" s="10" t="n">
        <f aca="false">IF(A13=0,Inputs!$B$47,0)</f>
        <v>0</v>
      </c>
      <c r="M13" s="10" t="n">
        <f aca="false">Q12</f>
        <v>0</v>
      </c>
      <c r="N13" s="10" t="n">
        <f aca="false">M13*Inputs!$B$29</f>
        <v>0</v>
      </c>
      <c r="O13" s="10" t="n">
        <f aca="false">L13*Inputs!$B$30</f>
        <v>0</v>
      </c>
      <c r="P13" s="10" t="n">
        <f aca="false">IF(K13&lt;0,MIN(M13+L13,-K13),0)+IF(A13=Inputs!$B$7,M13+L13-IF(K13&lt;0,MIN(M13+L13,-K13),0),0)</f>
        <v>0</v>
      </c>
      <c r="Q13" s="10" t="n">
        <f aca="false">M13+L13-P13</f>
        <v>0</v>
      </c>
      <c r="R13" s="10" t="n">
        <f aca="false">L13-N13-P13-O13</f>
        <v>0</v>
      </c>
      <c r="S13" s="10" t="n">
        <f aca="false">J13+R13</f>
        <v>0</v>
      </c>
      <c r="T13" s="10" t="n">
        <f aca="false">T12+S13</f>
        <v>7969521.53558052</v>
      </c>
    </row>
    <row r="14" customFormat="false" ht="15" hidden="false" customHeight="false" outlineLevel="0" collapsed="false">
      <c r="A14" s="5" t="n">
        <v>9</v>
      </c>
      <c r="B14" s="5" t="str">
        <f aca="false">IF(A14=0,"Completion",TEXT(2026+A14,"0")&amp;IF(A14=Inputs!$B$7," and exit",""))</f>
        <v>2035</v>
      </c>
      <c r="C14" s="5" t="n">
        <f aca="false">IF(A14&lt;=Inputs!$B$7,1,0)</f>
        <v>0</v>
      </c>
      <c r="D14" s="10" t="n">
        <f aca="false">C14*IF(A14=0,0,Inputs!$B$19)</f>
        <v>0</v>
      </c>
      <c r="E14" s="10" t="n">
        <f aca="false">C14*IF(A14&lt;1,0,IF(A14&lt;=Inputs!$B$12,0,IF(A14-1&lt;Inputs!$B$12,A14-Inputs!$B$12,1)*Inputs!$B$33*(1+Inputs!$B$14)^(5*INT((A14-1)/5))))</f>
        <v>0</v>
      </c>
      <c r="F14" s="10" t="n">
        <f aca="false">C14*(IF(A14=0,IF(Inputs!$B$24=0,Inputs!$B$39,0),0)+IF(AND(Inputs!$B$24&gt;0,A14=Inputs!$B$24),Inputs!$B$39,0))</f>
        <v>0</v>
      </c>
      <c r="G14" s="10" t="n">
        <f aca="false">-C14*(IF(A14=0,Inputs!$B$38*(1+Inputs!$B$6)+Inputs!$B$36+Inputs!$B$20,0)+IF(A14=1,Inputs!$B$34+Inputs!$B$35,0))</f>
        <v>-0</v>
      </c>
      <c r="H14" s="10" t="n">
        <f aca="false">-C14*IF(AND(Inputs!$B$24&gt;0,A14&gt;=1,A14&lt;=Inputs!$B$24),Inputs!$B$25,0)</f>
        <v>-0</v>
      </c>
      <c r="I14" s="10" t="n">
        <f aca="false">IF(A14=Inputs!$B$7,Inputs!$B$43+Inputs!$B$44+Inputs!$B$40,0)</f>
        <v>0</v>
      </c>
      <c r="J14" s="10" t="n">
        <f aca="false">SUM(D14:I14)</f>
        <v>0</v>
      </c>
      <c r="K14" s="10" t="n">
        <f aca="false">-G14-F14</f>
        <v>0</v>
      </c>
      <c r="L14" s="10" t="n">
        <f aca="false">IF(A14=0,Inputs!$B$47,0)</f>
        <v>0</v>
      </c>
      <c r="M14" s="10" t="n">
        <f aca="false">Q13</f>
        <v>0</v>
      </c>
      <c r="N14" s="10" t="n">
        <f aca="false">M14*Inputs!$B$29</f>
        <v>0</v>
      </c>
      <c r="O14" s="10" t="n">
        <f aca="false">L14*Inputs!$B$30</f>
        <v>0</v>
      </c>
      <c r="P14" s="10" t="n">
        <f aca="false">IF(K14&lt;0,MIN(M14+L14,-K14),0)+IF(A14=Inputs!$B$7,M14+L14-IF(K14&lt;0,MIN(M14+L14,-K14),0),0)</f>
        <v>0</v>
      </c>
      <c r="Q14" s="10" t="n">
        <f aca="false">M14+L14-P14</f>
        <v>0</v>
      </c>
      <c r="R14" s="10" t="n">
        <f aca="false">L14-N14-P14-O14</f>
        <v>0</v>
      </c>
      <c r="S14" s="10" t="n">
        <f aca="false">J14+R14</f>
        <v>0</v>
      </c>
      <c r="T14" s="10" t="n">
        <f aca="false">T13+S14</f>
        <v>7969521.53558052</v>
      </c>
    </row>
    <row r="15" customFormat="false" ht="15" hidden="false" customHeight="false" outlineLevel="0" collapsed="false">
      <c r="A15" s="5" t="n">
        <v>10</v>
      </c>
      <c r="B15" s="5" t="str">
        <f aca="false">IF(A15=0,"Completion",TEXT(2026+A15,"0")&amp;IF(A15=Inputs!$B$7," and exit",""))</f>
        <v>2036</v>
      </c>
      <c r="C15" s="5" t="n">
        <f aca="false">IF(A15&lt;=Inputs!$B$7,1,0)</f>
        <v>0</v>
      </c>
      <c r="D15" s="10" t="n">
        <f aca="false">C15*IF(A15=0,0,Inputs!$B$19)</f>
        <v>0</v>
      </c>
      <c r="E15" s="10" t="n">
        <f aca="false">C15*IF(A15&lt;1,0,IF(A15&lt;=Inputs!$B$12,0,IF(A15-1&lt;Inputs!$B$12,A15-Inputs!$B$12,1)*Inputs!$B$33*(1+Inputs!$B$14)^(5*INT((A15-1)/5))))</f>
        <v>0</v>
      </c>
      <c r="F15" s="10" t="n">
        <f aca="false">C15*(IF(A15=0,IF(Inputs!$B$24=0,Inputs!$B$39,0),0)+IF(AND(Inputs!$B$24&gt;0,A15=Inputs!$B$24),Inputs!$B$39,0))</f>
        <v>0</v>
      </c>
      <c r="G15" s="10" t="n">
        <f aca="false">-C15*(IF(A15=0,Inputs!$B$38*(1+Inputs!$B$6)+Inputs!$B$36+Inputs!$B$20,0)+IF(A15=1,Inputs!$B$34+Inputs!$B$35,0))</f>
        <v>-0</v>
      </c>
      <c r="H15" s="10" t="n">
        <f aca="false">-C15*IF(AND(Inputs!$B$24&gt;0,A15&gt;=1,A15&lt;=Inputs!$B$24),Inputs!$B$25,0)</f>
        <v>-0</v>
      </c>
      <c r="I15" s="10" t="n">
        <f aca="false">IF(A15=Inputs!$B$7,Inputs!$B$43+Inputs!$B$44+Inputs!$B$40,0)</f>
        <v>0</v>
      </c>
      <c r="J15" s="10" t="n">
        <f aca="false">SUM(D15:I15)</f>
        <v>0</v>
      </c>
      <c r="K15" s="10" t="n">
        <f aca="false">-G15-F15</f>
        <v>0</v>
      </c>
      <c r="L15" s="10" t="n">
        <f aca="false">IF(A15=0,Inputs!$B$47,0)</f>
        <v>0</v>
      </c>
      <c r="M15" s="10" t="n">
        <f aca="false">Q14</f>
        <v>0</v>
      </c>
      <c r="N15" s="10" t="n">
        <f aca="false">M15*Inputs!$B$29</f>
        <v>0</v>
      </c>
      <c r="O15" s="10" t="n">
        <f aca="false">L15*Inputs!$B$30</f>
        <v>0</v>
      </c>
      <c r="P15" s="10" t="n">
        <f aca="false">IF(K15&lt;0,MIN(M15+L15,-K15),0)+IF(A15=Inputs!$B$7,M15+L15-IF(K15&lt;0,MIN(M15+L15,-K15),0),0)</f>
        <v>0</v>
      </c>
      <c r="Q15" s="10" t="n">
        <f aca="false">M15+L15-P15</f>
        <v>0</v>
      </c>
      <c r="R15" s="10" t="n">
        <f aca="false">L15-N15-P15-O15</f>
        <v>0</v>
      </c>
      <c r="S15" s="10" t="n">
        <f aca="false">J15+R15</f>
        <v>0</v>
      </c>
      <c r="T15" s="10" t="n">
        <f aca="false">T14+S15</f>
        <v>7969521.53558052</v>
      </c>
    </row>
    <row r="16" customFormat="false" ht="15" hidden="false" customHeight="false" outlineLevel="0" collapsed="false">
      <c r="A16" s="2"/>
      <c r="B16" s="13" t="s">
        <v>91</v>
      </c>
      <c r="C16" s="2"/>
      <c r="D16" s="14" t="n">
        <f aca="false">SUM(D5:D15)</f>
        <v>300000</v>
      </c>
      <c r="E16" s="14" t="n">
        <f aca="false">SUM(E5:E15)</f>
        <v>1804260</v>
      </c>
      <c r="F16" s="14" t="n">
        <f aca="false">SUM(F5:F15)</f>
        <v>7000000</v>
      </c>
      <c r="G16" s="14" t="n">
        <f aca="false">SUM(G5:G15)</f>
        <v>-21028260</v>
      </c>
      <c r="H16" s="14" t="n">
        <f aca="false">SUM(H5:H15)</f>
        <v>0</v>
      </c>
      <c r="I16" s="14" t="n">
        <f aca="false">SUM(I5:I15)</f>
        <v>24362707.3301231</v>
      </c>
      <c r="J16" s="14" t="n">
        <f aca="false">SUM(J5:J15)</f>
        <v>12438707.3301231</v>
      </c>
      <c r="K16" s="14" t="n">
        <f aca="false">SUM(K5:K15)</f>
        <v>14028260</v>
      </c>
      <c r="L16" s="14" t="n">
        <f aca="false">SUM(L5:L15)</f>
        <v>15681353.6650615</v>
      </c>
      <c r="M16" s="14" t="n">
        <f aca="false">SUM(M5:M15)</f>
        <v>47044060.9951846</v>
      </c>
      <c r="N16" s="14" t="n">
        <f aca="false">SUM(N5:N15)</f>
        <v>4233965.48956661</v>
      </c>
      <c r="O16" s="14" t="n">
        <f aca="false">SUM(O5:O15)</f>
        <v>235220.304975923</v>
      </c>
      <c r="P16" s="14" t="n">
        <f aca="false">SUM(P5:P15)</f>
        <v>15681353.6650615</v>
      </c>
      <c r="Q16" s="14" t="n">
        <f aca="false">SUM(Q5:Q15)</f>
        <v>47044060.9951846</v>
      </c>
      <c r="R16" s="14" t="n">
        <f aca="false">SUM(R5:R15)</f>
        <v>-4469185.79454254</v>
      </c>
      <c r="S16" s="14" t="n">
        <f aca="false">SUM(S5:S15)</f>
        <v>7969521.53558052</v>
      </c>
      <c r="T1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92</v>
      </c>
      <c r="B1" s="2"/>
    </row>
    <row r="2" customFormat="false" ht="15" hidden="false" customHeight="false" outlineLevel="0" collapsed="false">
      <c r="A2" s="3" t="s">
        <v>93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4" t="s">
        <v>94</v>
      </c>
      <c r="B4" s="2"/>
    </row>
    <row r="5" customFormat="false" ht="15" hidden="false" customHeight="false" outlineLevel="0" collapsed="false">
      <c r="A5" s="5" t="s">
        <v>95</v>
      </c>
      <c r="B5" s="10" t="n">
        <f aca="false">'Cash flow'!D16+'Cash flow'!E16</f>
        <v>2104260</v>
      </c>
    </row>
    <row r="6" customFormat="false" ht="15" hidden="false" customHeight="false" outlineLevel="0" collapsed="false">
      <c r="A6" s="5" t="s">
        <v>45</v>
      </c>
      <c r="B6" s="10" t="n">
        <f aca="false">Inputs!$B$39</f>
        <v>7000000</v>
      </c>
    </row>
    <row r="7" customFormat="false" ht="15" hidden="false" customHeight="false" outlineLevel="0" collapsed="false">
      <c r="A7" s="5" t="s">
        <v>96</v>
      </c>
      <c r="B7" s="10" t="n">
        <f aca="false">'Cash flow'!I16</f>
        <v>24362707.3301231</v>
      </c>
    </row>
    <row r="8" customFormat="false" ht="15" hidden="false" customHeight="false" outlineLevel="0" collapsed="false">
      <c r="A8" s="5" t="s">
        <v>97</v>
      </c>
      <c r="B8" s="10" t="n">
        <f aca="false">B5+B6+B7</f>
        <v>33466967.3301231</v>
      </c>
    </row>
    <row r="9" customFormat="false" ht="15" hidden="false" customHeight="false" outlineLevel="0" collapsed="false">
      <c r="A9" s="4" t="s">
        <v>98</v>
      </c>
      <c r="B9" s="2"/>
    </row>
    <row r="10" customFormat="false" ht="15" hidden="false" customHeight="false" outlineLevel="0" collapsed="false">
      <c r="A10" s="5" t="s">
        <v>99</v>
      </c>
      <c r="B10" s="10" t="n">
        <f aca="false">-'Cash flow'!G16-'Cash flow'!H16</f>
        <v>21028260</v>
      </c>
    </row>
    <row r="11" customFormat="false" ht="15" hidden="false" customHeight="false" outlineLevel="0" collapsed="false">
      <c r="A11" s="5" t="s">
        <v>100</v>
      </c>
      <c r="B11" s="10" t="n">
        <f aca="false">'Cash flow'!N16+'Cash flow'!O16</f>
        <v>4469185.79454254</v>
      </c>
    </row>
    <row r="12" customFormat="false" ht="15" hidden="false" customHeight="false" outlineLevel="0" collapsed="false">
      <c r="A12" s="5" t="s">
        <v>101</v>
      </c>
      <c r="B12" s="10" t="n">
        <f aca="false">B10+B11</f>
        <v>25497445.7945425</v>
      </c>
    </row>
    <row r="13" customFormat="false" ht="15" hidden="false" customHeight="false" outlineLevel="0" collapsed="false">
      <c r="A13" s="5" t="s">
        <v>102</v>
      </c>
      <c r="B13" s="15" t="n">
        <f aca="false">(B8-B12)/B12</f>
        <v>0.312561564001298</v>
      </c>
    </row>
    <row r="14" customFormat="false" ht="15" hidden="false" customHeight="false" outlineLevel="0" collapsed="false">
      <c r="A14" s="4" t="s">
        <v>103</v>
      </c>
      <c r="B14" s="2"/>
    </row>
    <row r="15" customFormat="false" ht="15" hidden="false" customHeight="false" outlineLevel="0" collapsed="false">
      <c r="A15" s="5" t="s">
        <v>104</v>
      </c>
      <c r="B15" s="10" t="n">
        <f aca="false">B8-B12</f>
        <v>7969521.53558052</v>
      </c>
    </row>
    <row r="16" customFormat="false" ht="15" hidden="false" customHeight="false" outlineLevel="0" collapsed="false">
      <c r="A16" s="5" t="s">
        <v>105</v>
      </c>
      <c r="B16" s="15" t="n">
        <f aca="false">B15/B8</f>
        <v>0.238130974251954</v>
      </c>
    </row>
    <row r="17" customFormat="false" ht="15" hidden="false" customHeight="false" outlineLevel="0" collapsed="false">
      <c r="A17" s="5" t="s">
        <v>106</v>
      </c>
      <c r="B17" s="15" t="n">
        <f aca="false">(Inputs!$B$33+Inputs!$B$19)/(B10-Inputs!$B$39)</f>
        <v>0.135744561335476</v>
      </c>
    </row>
    <row r="18" customFormat="false" ht="15" hidden="false" customHeight="false" outlineLevel="0" collapsed="false">
      <c r="A18" s="5" t="s">
        <v>107</v>
      </c>
      <c r="B18" s="15" t="n">
        <f aca="false">IRR('Cash flow'!J5:J15,-0.05)</f>
        <v>0.168157145213216</v>
      </c>
    </row>
    <row r="19" customFormat="false" ht="15" hidden="false" customHeight="false" outlineLevel="0" collapsed="false">
      <c r="A19" s="5" t="s">
        <v>108</v>
      </c>
      <c r="B19" s="15" t="n">
        <f aca="false">IRR('Cash flow'!S5:S15,-0.2)</f>
        <v>0.299682183075168</v>
      </c>
    </row>
    <row r="20" customFormat="false" ht="15" hidden="false" customHeight="false" outlineLevel="0" collapsed="false">
      <c r="A20" s="5" t="s">
        <v>109</v>
      </c>
      <c r="B20" s="16" t="n">
        <f aca="false">SUMIF('Cash flow'!S5:S15,"&gt;0")/-SUMIF('Cash flow'!S5:S15,"&lt;0")</f>
        <v>1.97132780620858</v>
      </c>
    </row>
    <row r="21" customFormat="false" ht="15" hidden="false" customHeight="false" outlineLevel="0" collapsed="false">
      <c r="A21" s="5" t="s">
        <v>110</v>
      </c>
      <c r="B21" s="10" t="n">
        <f aca="false">-MIN('Cash flow'!T5:T15)</f>
        <v>8204770.29962547</v>
      </c>
    </row>
    <row r="22" customFormat="false" ht="15" hidden="false" customHeight="false" outlineLevel="0" collapsed="false">
      <c r="A22" s="5" t="s">
        <v>111</v>
      </c>
      <c r="B22" s="10" t="n">
        <f aca="false">MAX('Cash flow'!Q5:Q15)</f>
        <v>15681353.6650615</v>
      </c>
    </row>
    <row r="23" customFormat="false" ht="15" hidden="false" customHeight="false" outlineLevel="0" collapsed="false">
      <c r="A23" s="5" t="s">
        <v>112</v>
      </c>
      <c r="B23" s="15" t="n">
        <f aca="false">(Inputs!$B$33+Inputs!$B$19-B22*Inputs!$B$29)/B21</f>
        <v>0.0600794601363751</v>
      </c>
    </row>
    <row r="24" customFormat="false" ht="15" hidden="false" customHeight="false" outlineLevel="0" collapsed="false">
      <c r="A24" s="4" t="s">
        <v>113</v>
      </c>
      <c r="B24" s="2"/>
    </row>
    <row r="25" customFormat="false" ht="15" hidden="false" customHeight="false" outlineLevel="0" collapsed="false">
      <c r="A25" s="5" t="s">
        <v>114</v>
      </c>
      <c r="B25" s="10" t="n">
        <f aca="false">Inputs!$B$45</f>
        <v>31362707.3301231</v>
      </c>
    </row>
    <row r="26" customFormat="false" ht="15" hidden="false" customHeight="false" outlineLevel="0" collapsed="false">
      <c r="A26" s="5" t="s">
        <v>115</v>
      </c>
      <c r="B26" s="10" t="n">
        <f aca="false">Inputs!$B$47</f>
        <v>15681353.6650615</v>
      </c>
    </row>
    <row r="27" customFormat="false" ht="15" hidden="false" customHeight="false" outlineLevel="0" collapsed="false">
      <c r="A27" s="5" t="s">
        <v>116</v>
      </c>
      <c r="B27" s="15" t="n">
        <f aca="false">Inputs!$B$47/Inputs!$B$46</f>
        <v>0.745727590635722</v>
      </c>
    </row>
    <row r="28" customFormat="false" ht="15" hidden="false" customHeight="false" outlineLevel="0" collapsed="false">
      <c r="A28" s="5" t="s">
        <v>117</v>
      </c>
      <c r="B28" s="10" t="n">
        <f aca="false">Inputs!$B$46-Inputs!$B$47</f>
        <v>5346906.33493847</v>
      </c>
    </row>
    <row r="29" customFormat="false" ht="15" hidden="false" customHeight="false" outlineLevel="0" collapsed="false">
      <c r="A29" s="5" t="s">
        <v>118</v>
      </c>
      <c r="B29" s="15" t="n">
        <f aca="false">(Inputs!$B$33+Inputs!$B$19)/Inputs!$B$47</f>
        <v>0.121434669523636</v>
      </c>
    </row>
    <row r="30" customFormat="false" ht="15" hidden="false" customHeight="false" outlineLevel="0" collapsed="false">
      <c r="A30" s="5" t="s">
        <v>119</v>
      </c>
      <c r="B30" s="16" t="n">
        <f aca="false">(Inputs!$B$33+Inputs!$B$19)/(Inputs!$B$47*Inputs!$B$29)</f>
        <v>1.34927410581817</v>
      </c>
    </row>
    <row r="31" customFormat="false" ht="15" hidden="false" customHeight="false" outlineLevel="0" collapsed="false">
      <c r="A31" s="5" t="s">
        <v>120</v>
      </c>
      <c r="B31" s="10" t="n">
        <f aca="false">MAX(0,(Inputs!$B$47*Inputs!$B$29-Inputs!$B$19)*Inputs!$B$12)</f>
        <v>2622643.65971108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2026-10-17T18:42:09Z</dcterms:created>
  <dc:creator>openpyxl</dc:creator>
  <dc:description/>
  <dc:language>en-US</dc:language>
  <cp:lastModifiedBy/>
  <dcterms:modified xsi:type="dcterms:W3CDTF">2026-10-17T18:42:09Z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